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01377c6c3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11b286b08f004a56"/>
    <x:sheet xmlns:r="http://schemas.openxmlformats.org/officeDocument/2006/relationships" name="Radar" sheetId="2" r:id="Re48ddc64977b49f9"/>
    <x:sheet xmlns:r="http://schemas.openxmlformats.org/officeDocument/2006/relationships" name="Resumo" sheetId="3" r:id="R75517f0683fc44ce"/>
    <x:sheet xmlns:r="http://schemas.openxmlformats.org/officeDocument/2006/relationships" name="Parametros" sheetId="4" r:id="Rcca6b72650a3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0"/>
    <x:numFmt numFmtId="203" formatCode="0.0"/>
  </x:numFmts>
  <x:fonts count="2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sz val="11"/>
      <x:color rgb="FF375623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7F6000"/>
      <x:name val="Aptos"/>
    </x:font>
    <x:font>
      <x:sz val="10"/>
      <x:color rgb="FF375623"/>
      <x:name val="Aptos"/>
    </x:font>
    <x:font>
      <x:sz val="9"/>
      <x:name val="Aptos"/>
    </x:font>
    <x:font>
      <x:b/>
      <x:sz val="20"/>
      <x:color rgb="FF2F75B5"/>
      <x:name val="Carlito"/>
    </x:font>
    <x:font>
      <x:b/>
      <x:sz val="20"/>
      <x:color rgb="FF1F7A8C"/>
      <x:name val="Carlito"/>
    </x:font>
    <x:font>
      <x:b/>
      <x:sz val="20"/>
      <x:color rgb="FF70AD47"/>
      <x:name val="Carlito"/>
    </x:font>
    <x:font>
      <x:b/>
      <x:sz val="20"/>
      <x:color rgb="FFC55A11"/>
      <x:name val="Carlito"/>
    </x:font>
    <x:font>
      <x:sz val="11"/>
      <x:color rgb="FF17365D"/>
      <x:name val="Carlito"/>
    </x:font>
    <x:font>
      <x:b/>
      <x:sz val="10"/>
      <x:color rgb="FF2F75B5"/>
      <x:name val="Aptos"/>
    </x:font>
    <x:font>
      <x:b/>
      <x:sz val="10"/>
      <x:color rgb="FF1F7A8C"/>
      <x:name val="Aptos"/>
    </x:font>
    <x:font>
      <x:b/>
      <x:sz val="10"/>
      <x:color rgb="FF70AD47"/>
      <x:name val="Aptos"/>
    </x:font>
    <x:font>
      <x:b/>
      <x:sz val="10"/>
      <x:color rgb="FFC55A11"/>
      <x:name val="Aptos"/>
    </x:font>
    <x:font>
      <x:sz val="10"/>
      <x:color rgb="FF17365D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C00000"/>
      </x:patternFill>
    </x:fill>
    <x:fill>
      <x:patternFill patternType="solid">
        <x:fgColor rgb="FF2F75B5"/>
      </x:patternFill>
    </x:fill>
    <x:fill>
      <x:patternFill patternType="solid">
        <x:fgColor rgb="FFF7FAF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1F7A8C"/>
      </x:patternFill>
    </x:fill>
    <x:fill>
      <x:patternFill patternType="solid">
        <x:fgColor rgb="FF70AD47"/>
      </x:patternFill>
    </x:fill>
    <x:fill>
      <x:patternFill patternType="solid">
        <x:fgColor rgb="FFC55A11"/>
      </x:patternFill>
    </x:fill>
  </x:fills>
  <x:borders count="18">
    <x:border/>
    <x:border>
      <x:left style="thin">
        <x:color rgb="FF2F75B5"/>
      </x:left>
      <x:top style="thin">
        <x:color rgb="FF2F75B5"/>
      </x:top>
    </x:border>
    <x:border>
      <x:right style="thin">
        <x:color rgb="FF2F75B5"/>
      </x:right>
      <x:top style="thin">
        <x:color rgb="FF2F75B5"/>
      </x:top>
    </x:border>
    <x:border>
      <x:left style="thin">
        <x:color rgb="FF2F75B5"/>
      </x:left>
      <x:bottom style="thin">
        <x:color rgb="FF2F75B5"/>
      </x:bottom>
    </x:border>
    <x:border>
      <x:right style="thin">
        <x:color rgb="FF2F75B5"/>
      </x:right>
      <x:bottom style="thin">
        <x:color rgb="FF2F75B5"/>
      </x:bottom>
    </x:border>
    <x:border>
      <x:left style="thin">
        <x:color rgb="FF1F7A8C"/>
      </x:left>
      <x:top style="thin">
        <x:color rgb="FF1F7A8C"/>
      </x:top>
    </x:border>
    <x:border>
      <x:right style="thin">
        <x:color rgb="FF1F7A8C"/>
      </x:right>
      <x:top style="thin">
        <x:color rgb="FF1F7A8C"/>
      </x:top>
    </x:border>
    <x:border>
      <x:left style="thin">
        <x:color rgb="FF1F7A8C"/>
      </x:left>
      <x:bottom style="thin">
        <x:color rgb="FF1F7A8C"/>
      </x:bottom>
    </x:border>
    <x:border>
      <x:right style="thin">
        <x:color rgb="FF1F7A8C"/>
      </x:right>
      <x:bottom style="thin">
        <x:color rgb="FF1F7A8C"/>
      </x:bottom>
    </x:border>
    <x:border>
      <x:left style="thin">
        <x:color rgb="FF70AD47"/>
      </x:left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C55A11"/>
      </x:left>
      <x:top style="thin">
        <x:color rgb="FFC55A11"/>
      </x:top>
    </x:border>
    <x:border>
      <x:right style="thin">
        <x:color rgb="FFC55A11"/>
      </x:right>
      <x:top style="thin">
        <x:color rgb="FFC55A11"/>
      </x:top>
    </x:border>
    <x:border>
      <x:left style="thin">
        <x:color rgb="FFC55A11"/>
      </x:left>
      <x:bottom style="thin">
        <x:color rgb="FFC55A11"/>
      </x:bottom>
    </x:border>
    <x:border>
      <x:right style="thin">
        <x:color rgb="FFC55A11"/>
      </x:right>
      <x:bottom style="thin">
        <x:color rgb="FFC55A1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200" fontId="0" fillId="0" borderId="0" xfId="0" applyNumberFormat="1" applyFont="1" applyFill="1" applyBorder="1"/>
    <x:xf numFmtId="0" fontId="7" fillId="9" borderId="0" xfId="0" applyNumberFormat="1" applyFont="1" applyFill="1" applyBorder="1"/>
    <x:xf numFmtId="200" fontId="8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201" fontId="12" fillId="0" borderId="0" xfId="0" applyNumberFormat="1" applyFont="1" applyFill="1" applyBorder="1" applyAlignment="1">
      <x:alignment vertical="top" wrapText="1"/>
    </x:xf>
    <x:xf numFmtId="202" fontId="12" fillId="0" borderId="0" xfId="0" applyNumberFormat="1" applyFont="1" applyFill="1" applyBorder="1" applyAlignment="1">
      <x:alignment vertical="top" wrapText="1"/>
    </x:xf>
    <x:xf numFmtId="203" fontId="1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13" fillId="5" borderId="0" xfId="0" applyNumberFormat="1" applyFont="1" applyFill="1" applyBorder="1"/>
    <x:xf numFmtId="0" fontId="13" fillId="5" borderId="1" xfId="0" applyNumberFormat="1" applyFont="1" applyFill="1" applyBorder="1"/>
    <x:xf numFmtId="0" fontId="13" fillId="5" borderId="2" xfId="0" applyNumberFormat="1" applyFont="1" applyFill="1" applyBorder="1"/>
    <x:xf numFmtId="0" fontId="13" fillId="5" borderId="3" xfId="0" applyNumberFormat="1" applyFont="1" applyFill="1" applyBorder="1"/>
    <x:xf numFmtId="0" fontId="13" fillId="5" borderId="4" xfId="0" applyNumberFormat="1" applyFont="1" applyFill="1" applyBorder="1"/>
    <x:xf numFmtId="0" fontId="13" fillId="5" borderId="1" xfId="0" applyNumberFormat="1" applyFont="1" applyFill="1" applyBorder="1" applyAlignment="1">
      <x:alignment horizontal="center"/>
    </x:xf>
    <x:xf numFmtId="0" fontId="13" fillId="5" borderId="2" xfId="0" applyNumberFormat="1" applyFont="1" applyFill="1" applyBorder="1" applyAlignment="1">
      <x:alignment horizontal="center"/>
    </x:xf>
    <x:xf numFmtId="0" fontId="13" fillId="5" borderId="3" xfId="0" applyNumberFormat="1" applyFont="1" applyFill="1" applyBorder="1" applyAlignment="1">
      <x:alignment horizontal="center"/>
    </x:xf>
    <x:xf numFmtId="0" fontId="13" fillId="5" borderId="4" xfId="0" applyNumberFormat="1" applyFont="1" applyFill="1" applyBorder="1" applyAlignment="1">
      <x:alignment horizontal="center"/>
    </x:xf>
    <x:xf numFmtId="0" fontId="13" fillId="5" borderId="1" xfId="0" applyNumberFormat="1" applyFont="1" applyFill="1" applyBorder="1" applyAlignment="1">
      <x:alignment horizontal="center" vertical="center"/>
    </x:xf>
    <x:xf numFmtId="0" fontId="13" fillId="5" borderId="2" xfId="0" applyNumberFormat="1" applyFont="1" applyFill="1" applyBorder="1" applyAlignment="1">
      <x:alignment horizontal="center" vertical="center"/>
    </x:xf>
    <x:xf numFmtId="0" fontId="13" fillId="5" borderId="3" xfId="0" applyNumberFormat="1" applyFont="1" applyFill="1" applyBorder="1" applyAlignment="1">
      <x:alignment horizontal="center" vertical="center"/>
    </x:xf>
    <x:xf numFmtId="0" fontId="13" fillId="5" borderId="4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horizontal="center"/>
    </x:xf>
    <x:xf numFmtId="0" fontId="14" fillId="5" borderId="0" xfId="0" applyNumberFormat="1" applyFont="1" applyFill="1" applyBorder="1"/>
    <x:xf numFmtId="0" fontId="14" fillId="5" borderId="5" xfId="0" applyNumberFormat="1" applyFont="1" applyFill="1" applyBorder="1"/>
    <x:xf numFmtId="0" fontId="14" fillId="5" borderId="6" xfId="0" applyNumberFormat="1" applyFont="1" applyFill="1" applyBorder="1"/>
    <x:xf numFmtId="0" fontId="14" fillId="5" borderId="7" xfId="0" applyNumberFormat="1" applyFont="1" applyFill="1" applyBorder="1"/>
    <x:xf numFmtId="0" fontId="14" fillId="5" borderId="8" xfId="0" applyNumberFormat="1" applyFont="1" applyFill="1" applyBorder="1"/>
    <x:xf numFmtId="0" fontId="14" fillId="5" borderId="5" xfId="0" applyNumberFormat="1" applyFont="1" applyFill="1" applyBorder="1" applyAlignment="1">
      <x:alignment horizontal="center"/>
    </x:xf>
    <x:xf numFmtId="0" fontId="14" fillId="5" borderId="6" xfId="0" applyNumberFormat="1" applyFont="1" applyFill="1" applyBorder="1" applyAlignment="1">
      <x:alignment horizontal="center"/>
    </x:xf>
    <x:xf numFmtId="0" fontId="14" fillId="5" borderId="7" xfId="0" applyNumberFormat="1" applyFont="1" applyFill="1" applyBorder="1" applyAlignment="1">
      <x:alignment horizontal="center"/>
    </x:xf>
    <x:xf numFmtId="0" fontId="14" fillId="5" borderId="8" xfId="0" applyNumberFormat="1" applyFont="1" applyFill="1" applyBorder="1" applyAlignment="1">
      <x:alignment horizontal="center"/>
    </x:xf>
    <x:xf numFmtId="0" fontId="14" fillId="5" borderId="5" xfId="0" applyNumberFormat="1" applyFont="1" applyFill="1" applyBorder="1" applyAlignment="1">
      <x:alignment horizontal="center" vertical="center"/>
    </x:xf>
    <x:xf numFmtId="0" fontId="14" fillId="5" borderId="6" xfId="0" applyNumberFormat="1" applyFont="1" applyFill="1" applyBorder="1" applyAlignment="1">
      <x:alignment horizontal="center" vertical="center"/>
    </x:xf>
    <x:xf numFmtId="0" fontId="14" fillId="5" borderId="7" xfId="0" applyNumberFormat="1" applyFont="1" applyFill="1" applyBorder="1" applyAlignment="1">
      <x:alignment horizontal="center" vertical="center"/>
    </x:xf>
    <x:xf numFmtId="0" fontId="14" fillId="5" borderId="8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15" fillId="5" borderId="0" xfId="0" applyNumberFormat="1" applyFont="1" applyFill="1" applyBorder="1"/>
    <x:xf numFmtId="0" fontId="15" fillId="5" borderId="9" xfId="0" applyNumberFormat="1" applyFont="1" applyFill="1" applyBorder="1"/>
    <x:xf numFmtId="0" fontId="15" fillId="5" borderId="10" xfId="0" applyNumberFormat="1" applyFont="1" applyFill="1" applyBorder="1"/>
    <x:xf numFmtId="0" fontId="15" fillId="5" borderId="11" xfId="0" applyNumberFormat="1" applyFont="1" applyFill="1" applyBorder="1"/>
    <x:xf numFmtId="0" fontId="15" fillId="5" borderId="12" xfId="0" applyNumberFormat="1" applyFont="1" applyFill="1" applyBorder="1"/>
    <x:xf numFmtId="0" fontId="15" fillId="5" borderId="9" xfId="0" applyNumberFormat="1" applyFont="1" applyFill="1" applyBorder="1" applyAlignment="1">
      <x:alignment horizontal="center"/>
    </x:xf>
    <x:xf numFmtId="0" fontId="15" fillId="5" borderId="10" xfId="0" applyNumberFormat="1" applyFont="1" applyFill="1" applyBorder="1" applyAlignment="1">
      <x:alignment horizontal="center"/>
    </x:xf>
    <x:xf numFmtId="0" fontId="15" fillId="5" borderId="11" xfId="0" applyNumberFormat="1" applyFont="1" applyFill="1" applyBorder="1" applyAlignment="1">
      <x:alignment horizontal="center"/>
    </x:xf>
    <x:xf numFmtId="0" fontId="15" fillId="5" borderId="12" xfId="0" applyNumberFormat="1" applyFont="1" applyFill="1" applyBorder="1" applyAlignment="1">
      <x:alignment horizontal="center"/>
    </x:xf>
    <x:xf numFmtId="0" fontId="15" fillId="5" borderId="9" xfId="0" applyNumberFormat="1" applyFont="1" applyFill="1" applyBorder="1" applyAlignment="1">
      <x:alignment horizontal="center" vertical="center"/>
    </x:xf>
    <x:xf numFmtId="0" fontId="15" fillId="5" borderId="10" xfId="0" applyNumberFormat="1" applyFont="1" applyFill="1" applyBorder="1" applyAlignment="1">
      <x:alignment horizontal="center" vertical="center"/>
    </x:xf>
    <x:xf numFmtId="0" fontId="15" fillId="5" borderId="11" xfId="0" applyNumberFormat="1" applyFont="1" applyFill="1" applyBorder="1" applyAlignment="1">
      <x:alignment horizontal="center" vertical="center"/>
    </x:xf>
    <x:xf numFmtId="0" fontId="15" fillId="5" borderId="12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/>
    <x:xf numFmtId="0" fontId="16" fillId="5" borderId="13" xfId="0" applyNumberFormat="1" applyFont="1" applyFill="1" applyBorder="1"/>
    <x:xf numFmtId="0" fontId="16" fillId="5" borderId="14" xfId="0" applyNumberFormat="1" applyFont="1" applyFill="1" applyBorder="1"/>
    <x:xf numFmtId="0" fontId="16" fillId="5" borderId="15" xfId="0" applyNumberFormat="1" applyFont="1" applyFill="1" applyBorder="1"/>
    <x:xf numFmtId="0" fontId="16" fillId="5" borderId="16" xfId="0" applyNumberFormat="1" applyFont="1" applyFill="1" applyBorder="1"/>
    <x:xf numFmtId="0" fontId="16" fillId="5" borderId="13" xfId="0" applyNumberFormat="1" applyFont="1" applyFill="1" applyBorder="1" applyAlignment="1">
      <x:alignment horizontal="center"/>
    </x:xf>
    <x:xf numFmtId="0" fontId="16" fillId="5" borderId="14" xfId="0" applyNumberFormat="1" applyFont="1" applyFill="1" applyBorder="1" applyAlignment="1">
      <x:alignment horizontal="center"/>
    </x:xf>
    <x:xf numFmtId="0" fontId="16" fillId="5" borderId="15" xfId="0" applyNumberFormat="1" applyFont="1" applyFill="1" applyBorder="1" applyAlignment="1">
      <x:alignment horizontal="center"/>
    </x:xf>
    <x:xf numFmtId="0" fontId="16" fillId="5" borderId="16" xfId="0" applyNumberFormat="1" applyFont="1" applyFill="1" applyBorder="1" applyAlignment="1">
      <x:alignment horizontal="center"/>
    </x:xf>
    <x:xf numFmtId="0" fontId="16" fillId="5" borderId="13" xfId="0" applyNumberFormat="1" applyFont="1" applyFill="1" applyBorder="1" applyAlignment="1">
      <x:alignment horizontal="center" vertical="center"/>
    </x:xf>
    <x:xf numFmtId="0" fontId="16" fillId="5" borderId="14" xfId="0" applyNumberFormat="1" applyFont="1" applyFill="1" applyBorder="1" applyAlignment="1">
      <x:alignment horizontal="center" vertical="center"/>
    </x:xf>
    <x:xf numFmtId="0" fontId="16" fillId="5" borderId="15" xfId="0" applyNumberFormat="1" applyFont="1" applyFill="1" applyBorder="1" applyAlignment="1">
      <x:alignment horizontal="center" vertical="center"/>
    </x:xf>
    <x:xf numFmtId="0" fontId="16" fillId="5" borderId="16" xfId="0" applyNumberFormat="1" applyFont="1" applyFill="1" applyBorder="1" applyAlignment="1">
      <x:alignment horizontal="center" vertical="center"/>
    </x:xf>
    <x:xf numFmtId="0" fontId="2" fillId="2" borderId="17" xfId="0" applyNumberFormat="1" applyFont="1" applyFill="1" applyBorder="1"/>
    <x:xf numFmtId="0" fontId="0" fillId="0" borderId="17" xfId="0" applyNumberFormat="1" applyFont="1" applyFill="1" applyBorder="1"/>
    <x:xf numFmtId="202" fontId="0" fillId="0" borderId="17" xfId="0" applyNumberFormat="1" applyFont="1" applyFill="1" applyBorder="1"/>
    <x:xf numFmtId="0" fontId="17" fillId="6" borderId="0" xfId="0" applyNumberFormat="1" applyFont="1" applyFill="1" applyBorder="1"/>
    <x:xf numFmtId="0" fontId="17" fillId="6" borderId="0" xfId="0" applyNumberFormat="1" applyFont="1" applyFill="1" applyBorder="1" applyAlignment="1">
      <x:alignment wrapText="1"/>
    </x:xf>
    <x:xf numFmtId="0" fontId="17" fillId="6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/>
    </x:xf>
    <x:xf numFmtId="0" fontId="7" fillId="11" borderId="0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19" fillId="5" borderId="6" xfId="0" applyNumberFormat="1" applyFont="1" applyFill="1" applyBorder="1" applyAlignment="1">
      <x:alignment horizontal="center" vertical="center"/>
    </x:xf>
    <x:xf numFmtId="0" fontId="20" fillId="5" borderId="9" xfId="0" applyNumberFormat="1" applyFont="1" applyFill="1" applyBorder="1" applyAlignment="1">
      <x:alignment horizontal="center" vertical="center"/>
    </x:xf>
    <x:xf numFmtId="0" fontId="20" fillId="5" borderId="10" xfId="0" applyNumberFormat="1" applyFont="1" applyFill="1" applyBorder="1" applyAlignment="1">
      <x:alignment horizontal="center" vertical="center"/>
    </x:xf>
    <x:xf numFmtId="0" fontId="21" fillId="5" borderId="13" xfId="0" applyNumberFormat="1" applyFont="1" applyFill="1" applyBorder="1" applyAlignment="1">
      <x:alignment horizontal="center" vertical="center"/>
    </x:xf>
    <x:xf numFmtId="0" fontId="21" fillId="5" borderId="14" xfId="0" applyNumberFormat="1" applyFont="1" applyFill="1" applyBorder="1" applyAlignment="1">
      <x:alignment horizontal="center" vertical="center"/>
    </x:xf>
    <x:xf numFmtId="0" fontId="18" fillId="5" borderId="3" xfId="0" applyNumberFormat="1" applyFont="1" applyFill="1" applyBorder="1" applyAlignment="1">
      <x:alignment horizontal="center" vertical="center"/>
    </x:xf>
    <x:xf numFmtId="0" fontId="18" fillId="5" borderId="4" xfId="0" applyNumberFormat="1" applyFont="1" applyFill="1" applyBorder="1" applyAlignment="1">
      <x:alignment horizontal="center" vertical="center"/>
    </x:xf>
    <x:xf numFmtId="0" fontId="19" fillId="5" borderId="7" xfId="0" applyNumberFormat="1" applyFont="1" applyFill="1" applyBorder="1" applyAlignment="1">
      <x:alignment horizontal="center" vertical="center"/>
    </x:xf>
    <x:xf numFmtId="0" fontId="19" fillId="5" borderId="8" xfId="0" applyNumberFormat="1" applyFont="1" applyFill="1" applyBorder="1" applyAlignment="1">
      <x:alignment horizontal="center" vertical="center"/>
    </x:xf>
    <x:xf numFmtId="0" fontId="20" fillId="5" borderId="11" xfId="0" applyNumberFormat="1" applyFont="1" applyFill="1" applyBorder="1" applyAlignment="1">
      <x:alignment horizontal="center" vertical="center"/>
    </x:xf>
    <x:xf numFmtId="0" fontId="20" fillId="5" borderId="12" xfId="0" applyNumberFormat="1" applyFont="1" applyFill="1" applyBorder="1" applyAlignment="1">
      <x:alignment horizontal="center" vertical="center"/>
    </x:xf>
    <x:xf numFmtId="0" fontId="21" fillId="5" borderId="15" xfId="0" applyNumberFormat="1" applyFont="1" applyFill="1" applyBorder="1" applyAlignment="1">
      <x:alignment horizontal="center" vertical="center"/>
    </x:xf>
    <x:xf numFmtId="0" fontId="21" fillId="5" borderId="16" xfId="0" applyNumberFormat="1" applyFont="1" applyFill="1" applyBorder="1" applyAlignment="1">
      <x:alignment horizontal="center" vertical="center"/>
    </x:xf>
    <x:xf numFmtId="0" fontId="7" fillId="2" borderId="17" xfId="0" applyNumberFormat="1" applyFont="1" applyFill="1" applyBorder="1"/>
    <x:xf numFmtId="0" fontId="8" fillId="0" borderId="17" xfId="0" applyNumberFormat="1" applyFont="1" applyFill="1" applyBorder="1"/>
    <x:xf numFmtId="202" fontId="8" fillId="0" borderId="17" xfId="0" applyNumberFormat="1" applyFont="1" applyFill="1" applyBorder="1"/>
    <x:xf numFmtId="0" fontId="2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ccabb74e74371" /><Relationship Type="http://schemas.openxmlformats.org/officeDocument/2006/relationships/theme" Target="/xl/theme/theme1.xml" Id="R77112cd2f05a4dda" /><Relationship Type="http://schemas.openxmlformats.org/officeDocument/2006/relationships/sharedStrings" Target="/xl/sharedStrings.xml" Id="R2f2eb20513c34871" /><Relationship Type="http://schemas.openxmlformats.org/officeDocument/2006/relationships/worksheet" Target="/xl/worksheets/sheet1.xml" Id="R11b286b08f004a56" /><Relationship Type="http://schemas.openxmlformats.org/officeDocument/2006/relationships/worksheet" Target="/xl/worksheets/sheet2.xml" Id="Re48ddc64977b49f9" /><Relationship Type="http://schemas.openxmlformats.org/officeDocument/2006/relationships/worksheet" Target="/xl/worksheets/sheet3.xml" Id="R75517f0683fc44ce" /><Relationship Type="http://schemas.openxmlformats.org/officeDocument/2006/relationships/worksheet" Target="/xl/worksheets/sheet4.xml" Id="Rcca6b72650a345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37143154e44b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Quantidade de sinais por categoria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'Resumo'!$A$11:$A$20</c:f>
              <c:strCache>
                <c:ptCount val="0"/>
              </c:strCache>
            </c:strRef>
          </c:cat>
          <c:val>
            <c:numRef>
              <c:f>'Resumo'!$B$11:$B$20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37143154e44b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darCompetitivo" displayName="RadarCompetitivo" ref="A4:R34" headerRowCount="1" totalsRowCount="0" totalsRowShown="0">
  <x:tableColumns count="18">
    <x:tableColumn id="1" name="ID"/>
    <x:tableColumn id="2" name="Data do fato"/>
    <x:tableColumn id="3" name="Data da fonte"/>
    <x:tableColumn id="4" name="Empresa"/>
    <x:tableColumn id="5" name="Categoria"/>
    <x:tableColumn id="6" name="Fato confirmado"/>
    <x:tableColumn id="7" name="Tipo de fonte"/>
    <x:tableColumn id="8" name="Titulo da fonte"/>
    <x:tableColumn id="9" name="URL"/>
    <x:tableColumn id="10" name="Evidencia encontrada"/>
    <x:tableColumn id="11" name="Impacto"/>
    <x:tableColumn id="12" name="Urgencia"/>
    <x:tableColumn id="13" name="Confianca"/>
    <x:tableColumn id="14" name="Interpretacao"/>
    <x:tableColumn id="15" name="Pergunta ou acao"/>
    <x:tableColumn id="16" name="Score"/>
    <x:tableColumn id="17" name="Status da revisao"/>
    <x:tableColumn id="18" name="Data da pesquis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48ae74677a47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a8c0e26ae9c44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7" t="str">
        <x:v>DESAFIO 28 - POST 04 | RADAR COMPETITIVO</x:v>
      </x:c>
      <x:c r="B1" s="27" t="str">
        <x:v>DESAFIO 28 - POST 04 | RADAR COMPETITIVO</x:v>
      </x:c>
      <x:c r="C1" s="27" t="str">
        <x:v>DESAFIO 28 - POST 04 | RADAR COMPETITIVO</x:v>
      </x:c>
      <x:c r="D1" s="27" t="str">
        <x:v>DESAFIO 28 - POST 04 | RADAR COMPETITIVO</x:v>
      </x:c>
      <x:c r="E1" s="27" t="str">
        <x:v>DESAFIO 28 - POST 04 | RADAR COMPETITIVO</x:v>
      </x:c>
      <x:c r="F1" s="27" t="str">
        <x:v>DESAFIO 28 - POST 04 | RADAR COMPETITIVO</x:v>
      </x:c>
      <x:c r="G1" s="27" t="str">
        <x:v>DESAFIO 28 - POST 04 | RADAR COMPETITIVO</x:v>
      </x:c>
      <x:c r="H1" s="27" t="str">
        <x:v>DESAFIO 28 - POST 04 | RADAR COMPETITIVO</x:v>
      </x:c>
    </x:row>
    <x:row r="2">
      <x:c r="A2" s="28"/>
      <x:c r="B2" s="28"/>
      <x:c r="C2" s="28"/>
      <x:c r="D2" s="28"/>
      <x:c r="E2" s="28"/>
      <x:c r="F2" s="28"/>
      <x:c r="G2" s="28"/>
      <x:c r="H2" s="28"/>
    </x:row>
    <x:row r="3">
      <x:c r="A3" s="29" t="str">
        <x:v>EXEMPLO 100% SINTETICO | Substitua os registros da empresa ficticia NexaFlow pela sua pesquisa</x:v>
      </x:c>
      <x:c r="B3" s="29"/>
      <x:c r="C3" s="29"/>
      <x:c r="D3" s="29"/>
      <x:c r="E3" s="29"/>
      <x:c r="F3" s="29"/>
      <x:c r="G3" s="29"/>
      <x:c r="H3" s="29"/>
    </x:row>
    <x:row r="4">
      <x:c r="A4" s="28"/>
      <x:c r="B4" s="28"/>
      <x:c r="C4" s="28"/>
      <x:c r="D4" s="28"/>
      <x:c r="E4" s="28"/>
      <x:c r="F4" s="28"/>
      <x:c r="G4" s="28"/>
      <x:c r="H4" s="28"/>
    </x:row>
    <x:row r="5" ht="24" customHeight="1">
      <x:c r="A5" s="30" t="str">
        <x:v>Objetivo</x:v>
      </x:c>
      <x:c r="B5" s="30" t="str">
        <x:v>Objetivo</x:v>
      </x:c>
      <x:c r="C5" s="30" t="str">
        <x:v>Objetivo</x:v>
      </x:c>
      <x:c r="D5" s="30" t="str">
        <x:v>Objetivo</x:v>
      </x:c>
      <x:c r="E5" s="30" t="str">
        <x:v>Objetivo</x:v>
      </x:c>
      <x:c r="F5" s="30" t="str">
        <x:v>Objetivo</x:v>
      </x:c>
      <x:c r="G5" s="30" t="str">
        <x:v>Objetivo</x:v>
      </x:c>
      <x:c r="H5" s="30" t="str">
        <x:v>Objetivo</x:v>
      </x:c>
    </x:row>
    <x:row r="6">
      <x:c r="A6" s="31" t="str">
        <x:v>Organizar sinais publicos de uma empresa, confrontar fontes e separar fatos confirmados de interpretacoes. A matriz ajuda a priorizar o que merece acompanhamento sem transformar a IA em decisora.</x:v>
      </x:c>
      <x:c r="B6" s="31"/>
      <x:c r="C6" s="31"/>
      <x:c r="D6" s="31"/>
      <x:c r="E6" s="31"/>
      <x:c r="F6" s="31"/>
      <x:c r="G6" s="31"/>
      <x:c r="H6" s="31"/>
    </x:row>
    <x:row r="7">
      <x:c r="A7" s="31"/>
      <x:c r="B7" s="31"/>
      <x:c r="C7" s="31"/>
      <x:c r="D7" s="31"/>
      <x:c r="E7" s="31"/>
      <x:c r="F7" s="31"/>
      <x:c r="G7" s="31"/>
      <x:c r="H7" s="31"/>
    </x:row>
    <x:row r="8">
      <x:c r="A8" s="28"/>
      <x:c r="B8" s="28"/>
      <x:c r="C8" s="28"/>
      <x:c r="D8" s="28"/>
      <x:c r="E8" s="28"/>
      <x:c r="F8" s="28"/>
      <x:c r="G8" s="28"/>
      <x:c r="H8" s="28"/>
    </x:row>
    <x:row r="9" ht="24" customHeight="1">
      <x:c r="A9" s="30" t="str">
        <x:v>Como usar</x:v>
      </x:c>
      <x:c r="B9" s="30" t="str">
        <x:v>Como usar</x:v>
      </x:c>
      <x:c r="C9" s="30" t="str">
        <x:v>Como usar</x:v>
      </x:c>
      <x:c r="D9" s="30" t="str">
        <x:v>Como usar</x:v>
      </x:c>
      <x:c r="E9" s="30" t="str">
        <x:v>Como usar</x:v>
      </x:c>
      <x:c r="F9" s="30" t="str">
        <x:v>Como usar</x:v>
      </x:c>
      <x:c r="G9" s="30" t="str">
        <x:v>Como usar</x:v>
      </x:c>
      <x:c r="H9" s="30" t="str">
        <x:v>Como usar</x:v>
      </x:c>
    </x:row>
    <x:row r="10">
      <x:c r="A10" s="32" t="str">
        <x:v>1</x:v>
      </x:c>
      <x:c r="B10" s="33" t="str">
        <x:v>Defina a empresa, o mercado e a data de corte.</x:v>
      </x:c>
      <x:c r="C10" s="33"/>
      <x:c r="D10" s="33"/>
      <x:c r="E10" s="33"/>
      <x:c r="F10" s="33"/>
      <x:c r="G10" s="33"/>
      <x:c r="H10" s="33"/>
    </x:row>
    <x:row r="11">
      <x:c r="A11" s="32" t="str">
        <x:v>2</x:v>
      </x:c>
      <x:c r="B11" s="33" t="str">
        <x:v>Execute o prompt de pesquisa no Perplexity ou Gemini.</x:v>
      </x:c>
      <x:c r="C11" s="33"/>
      <x:c r="D11" s="33"/>
      <x:c r="E11" s="33"/>
      <x:c r="F11" s="33"/>
      <x:c r="G11" s="33"/>
      <x:c r="H11" s="33"/>
    </x:row>
    <x:row r="12">
      <x:c r="A12" s="32" t="str">
        <x:v>3</x:v>
      </x:c>
      <x:c r="B12" s="33" t="str">
        <x:v>Use a segunda ferramenta para auditar fontes e conclusoes.</x:v>
      </x:c>
      <x:c r="C12" s="33"/>
      <x:c r="D12" s="33"/>
      <x:c r="E12" s="33"/>
      <x:c r="F12" s="33"/>
      <x:c r="G12" s="33"/>
      <x:c r="H12" s="33"/>
    </x:row>
    <x:row r="13">
      <x:c r="A13" s="32" t="str">
        <x:v>4</x:v>
      </x:c>
      <x:c r="B13" s="33" t="str">
        <x:v>Substitua as cinco linhas sinteticas da aba Radar.</x:v>
      </x:c>
      <x:c r="C13" s="33"/>
      <x:c r="D13" s="33"/>
      <x:c r="E13" s="33"/>
      <x:c r="F13" s="33"/>
      <x:c r="G13" s="33"/>
      <x:c r="H13" s="33"/>
    </x:row>
    <x:row r="14">
      <x:c r="A14" s="32" t="str">
        <x:v>5</x:v>
      </x:c>
      <x:c r="B14" s="33" t="str">
        <x:v>Abra manualmente as fontes dos cinco sinais prioritarios.</x:v>
      </x:c>
      <x:c r="C14" s="33"/>
      <x:c r="D14" s="33"/>
      <x:c r="E14" s="33"/>
      <x:c r="F14" s="33"/>
      <x:c r="G14" s="33"/>
      <x:c r="H14" s="33"/>
    </x:row>
    <x:row r="15">
      <x:c r="A15" s="32" t="str">
        <x:v>6</x:v>
      </x:c>
      <x:c r="B15" s="33" t="str">
        <x:v>Revise o painel e prepare um resumo executivo de ate 150 palavras.</x:v>
      </x:c>
      <x:c r="C15" s="33"/>
      <x:c r="D15" s="33"/>
      <x:c r="E15" s="33"/>
      <x:c r="F15" s="33"/>
      <x:c r="G15" s="33"/>
      <x:c r="H15" s="33"/>
    </x:row>
    <x:row r="16">
      <x:c r="A16" s="32" t="str">
        <x:v>7</x:v>
      </x:c>
      <x:c r="B16" s="33" t="str">
        <x:v>Use os criterios de conferencia antes de compartilhar a analise.</x:v>
      </x:c>
      <x:c r="C16" s="33"/>
      <x:c r="D16" s="33"/>
      <x:c r="E16" s="33"/>
      <x:c r="F16" s="33"/>
      <x:c r="G16" s="33"/>
      <x:c r="H16" s="33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 ht="24" customHeight="1">
      <x:c r="A18" s="30" t="str">
        <x:v>Seguranca</x:v>
      </x:c>
      <x:c r="B18" s="30" t="str">
        <x:v>Seguranca</x:v>
      </x:c>
      <x:c r="C18" s="30" t="str">
        <x:v>Seguranca</x:v>
      </x:c>
      <x:c r="D18" s="30" t="str">
        <x:v>Seguranca</x:v>
      </x:c>
      <x:c r="E18" s="30" t="str">
        <x:v>Seguranca</x:v>
      </x:c>
      <x:c r="F18" s="30" t="str">
        <x:v>Seguranca</x:v>
      </x:c>
      <x:c r="G18" s="30" t="str">
        <x:v>Seguranca</x:v>
      </x:c>
      <x:c r="H18" s="30" t="str">
        <x:v>Seguranca</x:v>
      </x:c>
    </x:row>
    <x:row r="19">
      <x:c r="A19" s="34" t="str">
        <x:v>Use somente informacoes publicas e ferramentas autorizadas. Nao inclua nomes de clientes, estrategias internas, negociacoes, documentos confidenciais, dados pessoais, senhas, credenciais ou chaves. Links publicos devem ser abertos e conferidos antes de qualquer decisao.</x:v>
      </x:c>
      <x:c r="B19" s="34"/>
      <x:c r="C19" s="34"/>
      <x:c r="D19" s="34"/>
      <x:c r="E19" s="34"/>
      <x:c r="F19" s="34"/>
      <x:c r="G19" s="34"/>
      <x:c r="H19" s="34"/>
    </x:row>
    <x:row r="20">
      <x:c r="A20" s="34"/>
      <x:c r="B20" s="34"/>
      <x:c r="C20" s="34"/>
      <x:c r="D20" s="34"/>
      <x:c r="E20" s="34"/>
      <x:c r="F20" s="34"/>
      <x:c r="G20" s="34"/>
      <x:c r="H20" s="34"/>
    </x:row>
    <x:row r="21">
      <x:c r="A21" s="34"/>
      <x:c r="B21" s="34"/>
      <x:c r="C21" s="34"/>
      <x:c r="D21" s="34"/>
      <x:c r="E21" s="34"/>
      <x:c r="F21" s="34"/>
      <x:c r="G21" s="34"/>
      <x:c r="H21" s="34"/>
    </x:row>
    <x:row r="22">
      <x:c r="A22" s="34"/>
      <x:c r="B22" s="34"/>
      <x:c r="C22" s="34"/>
      <x:c r="D22" s="34"/>
      <x:c r="E22" s="34"/>
      <x:c r="F22" s="34"/>
      <x:c r="G22" s="34"/>
      <x:c r="H22" s="34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 ht="24" customHeight="1">
      <x:c r="A24" s="30" t="str">
        <x:v>Leitura do Score</x:v>
      </x:c>
      <x:c r="B24" s="30" t="str">
        <x:v>Leitura do Score</x:v>
      </x:c>
      <x:c r="C24" s="30" t="str">
        <x:v>Leitura do Score</x:v>
      </x:c>
      <x:c r="D24" s="30" t="str">
        <x:v>Leitura do Score</x:v>
      </x:c>
      <x:c r="E24" s="30" t="str">
        <x:v>Leitura do Score</x:v>
      </x:c>
      <x:c r="F24" s="30" t="str">
        <x:v>Leitura do Score</x:v>
      </x:c>
      <x:c r="G24" s="30" t="str">
        <x:v>Leitura do Score</x:v>
      </x:c>
      <x:c r="H24" s="30" t="str">
        <x:v>Leitura do Score</x:v>
      </x:c>
    </x:row>
    <x:row r="25">
      <x:c r="A25" s="35" t="str">
        <x:v>Score = Impacto x Urgencia x Peso da confianca. O calculo organiza a fila de verificacao. Ele nao substitui contexto, julgamento ou decisao humana. Os pesos ficam visiveis na aba Parametros.</x:v>
      </x:c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</x:sheetData>
  <x:mergeCells>
    <x:mergeCell ref="A1:H1"/>
    <x:mergeCell ref="A3:H3"/>
    <x:mergeCell ref="A5:H5"/>
    <x:mergeCell ref="A6:H7"/>
    <x:mergeCell ref="A9:H9"/>
    <x:mergeCell ref="B10:H10"/>
    <x:mergeCell ref="B11:H11"/>
    <x:mergeCell ref="B12:H12"/>
    <x:mergeCell ref="B13:H13"/>
    <x:mergeCell ref="B14:H14"/>
    <x:mergeCell ref="B15:H15"/>
    <x:mergeCell ref="B16:H16"/>
    <x:mergeCell ref="A18:H18"/>
    <x:mergeCell ref="A19:H22"/>
    <x:mergeCell ref="A24:H24"/>
    <x:mergeCell ref="A25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3" hidden="0" customWidth="1"/>
    <x:col min="4" max="4" width="15" hidden="0" customWidth="1"/>
    <x:col min="5" max="5" width="14" hidden="0" customWidth="1"/>
    <x:col min="6" max="6" width="34" hidden="0" customWidth="1"/>
    <x:col min="7" max="7" width="15" hidden="0" customWidth="1"/>
    <x:col min="8" max="8" width="26" hidden="0" customWidth="1"/>
    <x:col min="9" max="9" width="30" hidden="0" customWidth="1"/>
    <x:col min="10" max="10" width="38" hidden="0" customWidth="1"/>
    <x:col min="11" max="11" width="10" hidden="0" customWidth="1"/>
    <x:col min="12" max="12" width="10" hidden="0" customWidth="1"/>
    <x:col min="13" max="13" width="12" hidden="0" customWidth="1"/>
    <x:col min="14" max="14" width="35" hidden="0" customWidth="1"/>
    <x:col min="15" max="15" width="35" hidden="0" customWidth="1"/>
    <x:col min="16" max="16" width="10" hidden="0" customWidth="1"/>
    <x:col min="17" max="17" width="16" hidden="0" customWidth="1"/>
    <x:col min="18" max="18" width="14" hidden="0" customWidth="1"/>
  </x:cols>
  <x:sheetData>
    <x:row r="1" ht="34" customHeight="1">
      <x:c r="A1" s="4" t="str">
        <x:v>RADAR COMPETITIVO | REGISTRO DE SINAIS PUBLICOS</x:v>
      </x:c>
      <x:c r="B1" s="4" t="str">
        <x:v>RADAR COMPETITIVO | REGISTRO DE SINAIS PUBLICOS</x:v>
      </x:c>
      <x:c r="C1" s="4" t="str">
        <x:v>RADAR COMPETITIVO | REGISTRO DE SINAIS PUBLICOS</x:v>
      </x:c>
      <x:c r="D1" s="4" t="str">
        <x:v>RADAR COMPETITIVO | REGISTRO DE SINAIS PUBLICOS</x:v>
      </x:c>
      <x:c r="E1" s="4" t="str">
        <x:v>RADAR COMPETITIVO | REGISTRO DE SINAIS PUBLICOS</x:v>
      </x:c>
      <x:c r="F1" s="4" t="str">
        <x:v>RADAR COMPETITIVO | REGISTRO DE SINAIS PUBLICOS</x:v>
      </x:c>
      <x:c r="G1" s="4" t="str">
        <x:v>RADAR COMPETITIVO | REGISTRO DE SINAIS PUBLICOS</x:v>
      </x:c>
      <x:c r="H1" s="4" t="str">
        <x:v>RADAR COMPETITIVO | REGISTRO DE SINAIS PUBLICOS</x:v>
      </x:c>
      <x:c r="I1" s="4" t="str">
        <x:v>RADAR COMPETITIVO | REGISTRO DE SINAIS PUBLICOS</x:v>
      </x:c>
      <x:c r="J1" s="4" t="str">
        <x:v>RADAR COMPETITIVO | REGISTRO DE SINAIS PUBLICOS</x:v>
      </x:c>
      <x:c r="K1" s="4" t="str">
        <x:v>RADAR COMPETITIVO | REGISTRO DE SINAIS PUBLICOS</x:v>
      </x:c>
      <x:c r="L1" s="4" t="str">
        <x:v>RADAR COMPETITIVO | REGISTRO DE SINAIS PUBLICOS</x:v>
      </x:c>
      <x:c r="M1" s="4" t="str">
        <x:v>RADAR COMPETITIVO | REGISTRO DE SINAIS PUBLICOS</x:v>
      </x:c>
      <x:c r="N1" s="4" t="str">
        <x:v>RADAR COMPETITIVO | REGISTRO DE SINAIS PUBLICOS</x:v>
      </x:c>
      <x:c r="O1" s="4" t="str">
        <x:v>RADAR COMPETITIVO | REGISTRO DE SINAIS PUBLICOS</x:v>
      </x:c>
      <x:c r="P1" s="4" t="str">
        <x:v>RADAR COMPETITIVO | REGISTRO DE SINAIS PUBLICOS</x:v>
      </x:c>
      <x:c r="Q1" s="4" t="str">
        <x:v>RADAR COMPETITIVO | REGISTRO DE SINAIS PUBLICOS</x:v>
      </x:c>
      <x:c r="R1" s="4" t="str">
        <x:v>RADAR COMPETITIVO | REGISTRO DE SINAIS PUBLICOS</x:v>
      </x:c>
    </x:row>
    <x:row r="2">
      <x:c r="A2" s="41" t="str">
        <x:v>ATENCAO: as cinco primeiras linhas usam uma empresa e fontes ficticias. Exclua ou substitua antes de iniciar sua pesquisa.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</x:row>
    <x:row r="4" ht="42" customHeight="1">
      <x:c r="A4" s="45" t="str">
        <x:v>ID</x:v>
      </x:c>
      <x:c r="B4" s="45" t="str">
        <x:v>Data do fato</x:v>
      </x:c>
      <x:c r="C4" s="45" t="str">
        <x:v>Data da fonte</x:v>
      </x:c>
      <x:c r="D4" s="45" t="str">
        <x:v>Empresa</x:v>
      </x:c>
      <x:c r="E4" s="45" t="str">
        <x:v>Categoria</x:v>
      </x:c>
      <x:c r="F4" s="45" t="str">
        <x:v>Fato confirmado</x:v>
      </x:c>
      <x:c r="G4" s="45" t="str">
        <x:v>Tipo de fonte</x:v>
      </x:c>
      <x:c r="H4" s="45" t="str">
        <x:v>Titulo da fonte</x:v>
      </x:c>
      <x:c r="I4" s="45" t="str">
        <x:v>URL</x:v>
      </x:c>
      <x:c r="J4" s="45" t="str">
        <x:v>Evidencia encontrada</x:v>
      </x:c>
      <x:c r="K4" s="45" t="str">
        <x:v>Impacto</x:v>
      </x:c>
      <x:c r="L4" s="45" t="str">
        <x:v>Urgencia</x:v>
      </x:c>
      <x:c r="M4" s="45" t="str">
        <x:v>Confianca</x:v>
      </x:c>
      <x:c r="N4" s="45" t="str">
        <x:v>Interpretacao</x:v>
      </x:c>
      <x:c r="O4" s="45" t="str">
        <x:v>Pergunta ou acao</x:v>
      </x:c>
      <x:c r="P4" s="45" t="str">
        <x:v>Score</x:v>
      </x:c>
      <x:c r="Q4" s="45" t="str">
        <x:v>Status da revisao</x:v>
      </x:c>
      <x:c r="R4" s="45" t="str">
        <x:v>Data da pesquisa</x:v>
      </x:c>
    </x:row>
    <x:row r="5" ht="58" customHeight="1">
      <x:c r="A5" s="48" t="n">
        <x:v>1</x:v>
      </x:c>
      <x:c r="B5" s="49" t="n">
        <x:v>46191</x:v>
      </x:c>
      <x:c r="C5" s="49" t="n">
        <x:v>46191</x:v>
      </x:c>
      <x:c r="D5" s="48" t="str">
        <x:v>NexaFlow</x:v>
      </x:c>
      <x:c r="E5" s="48" t="str">
        <x:v>Produto</x:v>
      </x:c>
      <x:c r="F5" s="48" t="str">
        <x:v>Lancou modulo sintetico de analise de contratos</x:v>
      </x:c>
      <x:c r="G5" s="48" t="str">
        <x:v>Primaria</x:v>
      </x:c>
      <x:c r="H5" s="48" t="str">
        <x:v>Comunicado ficticio de produto</x:v>
      </x:c>
      <x:c r="I5" s="48" t="str">
        <x:v>https://example.com/nexaflow/produto</x:v>
      </x:c>
      <x:c r="J5" s="48" t="str">
        <x:v>Pagina ficticia descreve o novo modulo e a data de disponibilidade</x:v>
      </x:c>
      <x:c r="K5" s="50" t="n">
        <x:v>5</x:v>
      </x:c>
      <x:c r="L5" s="50" t="n">
        <x:v>4</x:v>
      </x:c>
      <x:c r="M5" s="48" t="str">
        <x:v>Alta</x:v>
      </x:c>
      <x:c r="N5" s="48" t="str">
        <x:v>Pode ampliar a oferta para equipes juridicas; requer confirmacao de adocao</x:v>
      </x:c>
      <x:c r="O5" s="48" t="str">
        <x:v>Verificar clientes-alvo e disponibilidade por mercado</x:v>
      </x:c>
      <x:c r="P5" s="51" t="n">
        <x:f>IF(OR(K5="",L5="",M5=""),"",K5*L5*VLOOKUP(M5,'Parametros'!$A$4:$B$6,2,FALSE))</x:f>
        <x:v>20</x:v>
      </x:c>
      <x:c r="Q5" s="48" t="str">
        <x:v>Confirmado</x:v>
      </x:c>
      <x:c r="R5" s="49" t="n">
        <x:v>46242</x:v>
      </x:c>
    </x:row>
    <x:row r="6" ht="58" customHeight="1">
      <x:c r="A6" s="48" t="n">
        <x:v>2</x:v>
      </x:c>
      <x:c r="B6" s="49" t="n">
        <x:v>46205</x:v>
      </x:c>
      <x:c r="C6" s="49" t="n">
        <x:v>46206</x:v>
      </x:c>
      <x:c r="D6" s="48" t="str">
        <x:v>NexaFlow</x:v>
      </x:c>
      <x:c r="E6" s="48" t="str">
        <x:v>Parceria</x:v>
      </x:c>
      <x:c r="F6" s="48" t="str">
        <x:v>Anunciou parceria sintetica com integradora regional</x:v>
      </x:c>
      <x:c r="G6" s="48" t="str">
        <x:v>Primaria</x:v>
      </x:c>
      <x:c r="H6" s="48" t="str">
        <x:v>Nota ficticia de parceria</x:v>
      </x:c>
      <x:c r="I6" s="48" t="str">
        <x:v>https://example.com/nexaflow/parceria</x:v>
      </x:c>
      <x:c r="J6" s="48" t="str">
        <x:v>Comunicado ficticio cita escopo regional e inicio da parceria</x:v>
      </x:c>
      <x:c r="K6" s="50" t="n">
        <x:v>4</x:v>
      </x:c>
      <x:c r="L6" s="50" t="n">
        <x:v>3</x:v>
      </x:c>
      <x:c r="M6" s="48" t="str">
        <x:v>Alta</x:v>
      </x:c>
      <x:c r="N6" s="48" t="str">
        <x:v>Pode acelerar distribuicao regional; impacto comercial ainda nao publicado</x:v>
      </x:c>
      <x:c r="O6" s="48" t="str">
        <x:v>Procurar clientes, mercados e metas citados pela parceira</x:v>
      </x:c>
      <x:c r="P6" s="51" t="n">
        <x:f>IF(OR(K6="",L6="",M6=""),"",K6*L6*VLOOKUP(M6,'Parametros'!$A$4:$B$6,2,FALSE))</x:f>
        <x:v>12</x:v>
      </x:c>
      <x:c r="Q6" s="48" t="str">
        <x:v>Confirmado</x:v>
      </x:c>
      <x:c r="R6" s="49" t="n">
        <x:v>46242</x:v>
      </x:c>
    </x:row>
    <x:row r="7" ht="58" customHeight="1">
      <x:c r="A7" s="48" t="n">
        <x:v>3</x:v>
      </x:c>
      <x:c r="B7" s="49" t="n">
        <x:v>46217</x:v>
      </x:c>
      <x:c r="C7" s="49" t="n">
        <x:v>46217</x:v>
      </x:c>
      <x:c r="D7" s="48" t="str">
        <x:v>NexaFlow</x:v>
      </x:c>
      <x:c r="E7" s="48" t="str">
        <x:v>Contratacao</x:v>
      </x:c>
      <x:c r="F7" s="48" t="str">
        <x:v>Publicou cinco vagas sinteticas para setor publico</x:v>
      </x:c>
      <x:c r="G7" s="48" t="str">
        <x:v>Primaria</x:v>
      </x:c>
      <x:c r="H7" s="48" t="str">
        <x:v>Pagina ficticia de carreiras</x:v>
      </x:c>
      <x:c r="I7" s="48" t="str">
        <x:v>https://example.com/nexaflow/carreiras</x:v>
      </x:c>
      <x:c r="J7" s="48" t="str">
        <x:v>Cinco vagas ficticias mencionam experiencia em governo</x:v>
      </x:c>
      <x:c r="K7" s="50" t="n">
        <x:v>3</x:v>
      </x:c>
      <x:c r="L7" s="50" t="n">
        <x:v>3</x:v>
      </x:c>
      <x:c r="M7" s="48" t="str">
        <x:v>Media</x:v>
      </x:c>
      <x:c r="N7" s="48" t="str">
        <x:v>Sugere interesse no setor publico, mas vagas isoladas nao confirmam nova estrategia</x:v>
      </x:c>
      <x:c r="O7" s="48" t="str">
        <x:v>Buscar comunicados, contratos ou eventos ligados ao setor</x:v>
      </x:c>
      <x:c r="P7" s="51" t="n">
        <x:f>IF(OR(K7="",L7="",M7=""),"",K7*L7*VLOOKUP(M7,'Parametros'!$A$4:$B$6,2,FALSE))</x:f>
        <x:v>6.3</x:v>
      </x:c>
      <x:c r="Q7" s="48" t="str">
        <x:v>Parcial</x:v>
      </x:c>
      <x:c r="R7" s="49" t="n">
        <x:v>46242</x:v>
      </x:c>
    </x:row>
    <x:row r="8" ht="58" customHeight="1">
      <x:c r="A8" s="48" t="n">
        <x:v>4</x:v>
      </x:c>
      <x:c r="B8" s="49" t="n">
        <x:v>46228</x:v>
      </x:c>
      <x:c r="C8" s="49" t="n">
        <x:v>46230</x:v>
      </x:c>
      <x:c r="D8" s="48" t="str">
        <x:v>NexaFlow</x:v>
      </x:c>
      <x:c r="E8" s="48" t="str">
        <x:v>Preco</x:v>
      </x:c>
      <x:c r="F8" s="48" t="str">
        <x:v>Blog secundario afirma que houve reajuste de 12%</x:v>
      </x:c>
      <x:c r="G8" s="48" t="str">
        <x:v>Secundaria</x:v>
      </x:c>
      <x:c r="H8" s="48" t="str">
        <x:v>Analise ficticia de mercado</x:v>
      </x:c>
      <x:c r="I8" s="48" t="str">
        <x:v>https://example.com/analise/reajuste</x:v>
      </x:c>
      <x:c r="J8" s="48" t="str">
        <x:v>Texto cita reajuste sem apresentar tabela oficial ou captura datada</x:v>
      </x:c>
      <x:c r="K8" s="50" t="n">
        <x:v>4</x:v>
      </x:c>
      <x:c r="L8" s="50" t="n">
        <x:v>4</x:v>
      </x:c>
      <x:c r="M8" s="48" t="str">
        <x:v>Baixa</x:v>
      </x:c>
      <x:c r="N8" s="48" t="str">
        <x:v>O reajuste pode ser real, mas falta confirmacao em fonte primaria</x:v>
      </x:c>
      <x:c r="O8" s="48" t="str">
        <x:v>Comparar pagina oficial de precos e historico arquivado</x:v>
      </x:c>
      <x:c r="P8" s="51" t="n">
        <x:f>IF(OR(K8="",L8="",M8=""),"",K8*L8*VLOOKUP(M8,'Parametros'!$A$4:$B$6,2,FALSE))</x:f>
        <x:v>6.4</x:v>
      </x:c>
      <x:c r="Q8" s="48" t="str">
        <x:v>Pendente</x:v>
      </x:c>
      <x:c r="R8" s="49" t="n">
        <x:v>46242</x:v>
      </x:c>
    </x:row>
    <x:row r="9" ht="58" customHeight="1">
      <x:c r="A9" s="48" t="n">
        <x:v>5</x:v>
      </x:c>
      <x:c r="B9" s="49" t="n">
        <x:v>46235</x:v>
      </x:c>
      <x:c r="C9" s="49" t="n">
        <x:v>46235</x:v>
      </x:c>
      <x:c r="D9" s="48" t="str">
        <x:v>NexaFlow</x:v>
      </x:c>
      <x:c r="E9" s="48" t="str">
        <x:v>Campanha</x:v>
      </x:c>
      <x:c r="F9" s="48" t="str">
        <x:v>Iniciou campanha sintetica voltada a pequenas empresas</x:v>
      </x:c>
      <x:c r="G9" s="48" t="str">
        <x:v>Comercial</x:v>
      </x:c>
      <x:c r="H9" s="48" t="str">
        <x:v>Landing page ficticia da campanha</x:v>
      </x:c>
      <x:c r="I9" s="48" t="str">
        <x:v>https://example.com/nexaflow/campanha</x:v>
      </x:c>
      <x:c r="J9" s="48" t="str">
        <x:v>Pagina ficticia usa mensagem e oferta voltadas a pequenas empresas</x:v>
      </x:c>
      <x:c r="K9" s="50" t="n">
        <x:v>3</x:v>
      </x:c>
      <x:c r="L9" s="50" t="n">
        <x:v>2</x:v>
      </x:c>
      <x:c r="M9" s="48" t="str">
        <x:v>Media</x:v>
      </x:c>
      <x:c r="N9" s="48" t="str">
        <x:v>Pode indicar teste de posicionamento, sem confirmar mudanca permanente</x:v>
      </x:c>
      <x:c r="O9" s="48" t="str">
        <x:v>Acompanhar repeticao da mensagem e novas ofertas</x:v>
      </x:c>
      <x:c r="P9" s="51" t="n">
        <x:f>IF(OR(K9="",L9="",M9=""),"",K9*L9*VLOOKUP(M9,'Parametros'!$A$4:$B$6,2,FALSE))</x:f>
        <x:v>4.199999999999999</x:v>
      </x:c>
      <x:c r="Q9" s="48" t="str">
        <x:v>Parcial</x:v>
      </x:c>
      <x:c r="R9" s="49" t="n">
        <x:v>46242</x:v>
      </x:c>
    </x:row>
    <x:row r="10" ht="58" customHeight="1">
      <x:c r="A10" s="48"/>
      <x:c r="B10" s="49"/>
      <x:c r="C10" s="49"/>
      <x:c r="D10" s="48"/>
      <x:c r="E10" s="48"/>
      <x:c r="F10" s="48"/>
      <x:c r="G10" s="48"/>
      <x:c r="H10" s="48"/>
      <x:c r="I10" s="48"/>
      <x:c r="J10" s="48"/>
      <x:c r="K10" s="50"/>
      <x:c r="L10" s="50"/>
      <x:c r="M10" s="48"/>
      <x:c r="N10" s="48"/>
      <x:c r="O10" s="48"/>
      <x:c r="P10" s="51" t="str">
        <x:f>IF(OR(K10="",L10="",M10=""),"",K10*L10*VLOOKUP(M10,'Parametros'!$A$4:$B$6,2,FALSE))</x:f>
      </x:c>
      <x:c r="Q10" s="48"/>
      <x:c r="R10" s="49"/>
    </x:row>
    <x:row r="11" ht="58" customHeight="1">
      <x:c r="A11" s="48"/>
      <x:c r="B11" s="49"/>
      <x:c r="C11" s="49"/>
      <x:c r="D11" s="48"/>
      <x:c r="E11" s="48"/>
      <x:c r="F11" s="48"/>
      <x:c r="G11" s="48"/>
      <x:c r="H11" s="48"/>
      <x:c r="I11" s="48"/>
      <x:c r="J11" s="48"/>
      <x:c r="K11" s="50"/>
      <x:c r="L11" s="50"/>
      <x:c r="M11" s="48"/>
      <x:c r="N11" s="48"/>
      <x:c r="O11" s="48"/>
      <x:c r="P11" s="51" t="str">
        <x:f>IF(OR(K11="",L11="",M11=""),"",K11*L11*VLOOKUP(M11,'Parametros'!$A$4:$B$6,2,FALSE))</x:f>
      </x:c>
      <x:c r="Q11" s="48"/>
      <x:c r="R11" s="49"/>
    </x:row>
    <x:row r="12" ht="58" customHeight="1">
      <x:c r="A12" s="48"/>
      <x:c r="B12" s="49"/>
      <x:c r="C12" s="49"/>
      <x:c r="D12" s="48"/>
      <x:c r="E12" s="48"/>
      <x:c r="F12" s="48"/>
      <x:c r="G12" s="48"/>
      <x:c r="H12" s="48"/>
      <x:c r="I12" s="48"/>
      <x:c r="J12" s="48"/>
      <x:c r="K12" s="50"/>
      <x:c r="L12" s="50"/>
      <x:c r="M12" s="48"/>
      <x:c r="N12" s="48"/>
      <x:c r="O12" s="48"/>
      <x:c r="P12" s="51" t="str">
        <x:f>IF(OR(K12="",L12="",M12=""),"",K12*L12*VLOOKUP(M12,'Parametros'!$A$4:$B$6,2,FALSE))</x:f>
      </x:c>
      <x:c r="Q12" s="48"/>
      <x:c r="R12" s="49"/>
    </x:row>
    <x:row r="13" ht="58" customHeight="1">
      <x:c r="A13" s="48"/>
      <x:c r="B13" s="49"/>
      <x:c r="C13" s="49"/>
      <x:c r="D13" s="48"/>
      <x:c r="E13" s="48"/>
      <x:c r="F13" s="48"/>
      <x:c r="G13" s="48"/>
      <x:c r="H13" s="48"/>
      <x:c r="I13" s="48"/>
      <x:c r="J13" s="48"/>
      <x:c r="K13" s="50"/>
      <x:c r="L13" s="50"/>
      <x:c r="M13" s="48"/>
      <x:c r="N13" s="48"/>
      <x:c r="O13" s="48"/>
      <x:c r="P13" s="51" t="str">
        <x:f>IF(OR(K13="",L13="",M13=""),"",K13*L13*VLOOKUP(M13,'Parametros'!$A$4:$B$6,2,FALSE))</x:f>
      </x:c>
      <x:c r="Q13" s="48"/>
      <x:c r="R13" s="49"/>
    </x:row>
    <x:row r="14" ht="58" customHeight="1">
      <x:c r="A14" s="48"/>
      <x:c r="B14" s="49"/>
      <x:c r="C14" s="49"/>
      <x:c r="D14" s="48"/>
      <x:c r="E14" s="48"/>
      <x:c r="F14" s="48"/>
      <x:c r="G14" s="48"/>
      <x:c r="H14" s="48"/>
      <x:c r="I14" s="48"/>
      <x:c r="J14" s="48"/>
      <x:c r="K14" s="50"/>
      <x:c r="L14" s="50"/>
      <x:c r="M14" s="48"/>
      <x:c r="N14" s="48"/>
      <x:c r="O14" s="48"/>
      <x:c r="P14" s="51" t="str">
        <x:f>IF(OR(K14="",L14="",M14=""),"",K14*L14*VLOOKUP(M14,'Parametros'!$A$4:$B$6,2,FALSE))</x:f>
      </x:c>
      <x:c r="Q14" s="48"/>
      <x:c r="R14" s="49"/>
    </x:row>
    <x:row r="15" ht="58" customHeight="1">
      <x:c r="A15" s="48"/>
      <x:c r="B15" s="49"/>
      <x:c r="C15" s="49"/>
      <x:c r="D15" s="48"/>
      <x:c r="E15" s="48"/>
      <x:c r="F15" s="48"/>
      <x:c r="G15" s="48"/>
      <x:c r="H15" s="48"/>
      <x:c r="I15" s="48"/>
      <x:c r="J15" s="48"/>
      <x:c r="K15" s="50"/>
      <x:c r="L15" s="50"/>
      <x:c r="M15" s="48"/>
      <x:c r="N15" s="48"/>
      <x:c r="O15" s="48"/>
      <x:c r="P15" s="51" t="str">
        <x:f>IF(OR(K15="",L15="",M15=""),"",K15*L15*VLOOKUP(M15,'Parametros'!$A$4:$B$6,2,FALSE))</x:f>
      </x:c>
      <x:c r="Q15" s="48"/>
      <x:c r="R15" s="49"/>
    </x:row>
    <x:row r="16" ht="58" customHeight="1">
      <x:c r="A16" s="48"/>
      <x:c r="B16" s="49"/>
      <x:c r="C16" s="49"/>
      <x:c r="D16" s="48"/>
      <x:c r="E16" s="48"/>
      <x:c r="F16" s="48"/>
      <x:c r="G16" s="48"/>
      <x:c r="H16" s="48"/>
      <x:c r="I16" s="48"/>
      <x:c r="J16" s="48"/>
      <x:c r="K16" s="50"/>
      <x:c r="L16" s="50"/>
      <x:c r="M16" s="48"/>
      <x:c r="N16" s="48"/>
      <x:c r="O16" s="48"/>
      <x:c r="P16" s="51" t="str">
        <x:f>IF(OR(K16="",L16="",M16=""),"",K16*L16*VLOOKUP(M16,'Parametros'!$A$4:$B$6,2,FALSE))</x:f>
      </x:c>
      <x:c r="Q16" s="48"/>
      <x:c r="R16" s="49"/>
    </x:row>
    <x:row r="17" ht="58" customHeight="1">
      <x:c r="A17" s="48"/>
      <x:c r="B17" s="49"/>
      <x:c r="C17" s="49"/>
      <x:c r="D17" s="48"/>
      <x:c r="E17" s="48"/>
      <x:c r="F17" s="48"/>
      <x:c r="G17" s="48"/>
      <x:c r="H17" s="48"/>
      <x:c r="I17" s="48"/>
      <x:c r="J17" s="48"/>
      <x:c r="K17" s="50"/>
      <x:c r="L17" s="50"/>
      <x:c r="M17" s="48"/>
      <x:c r="N17" s="48"/>
      <x:c r="O17" s="48"/>
      <x:c r="P17" s="51" t="str">
        <x:f>IF(OR(K17="",L17="",M17=""),"",K17*L17*VLOOKUP(M17,'Parametros'!$A$4:$B$6,2,FALSE))</x:f>
      </x:c>
      <x:c r="Q17" s="48"/>
      <x:c r="R17" s="49"/>
    </x:row>
    <x:row r="18" ht="58" customHeight="1">
      <x:c r="A18" s="48"/>
      <x:c r="B18" s="49"/>
      <x:c r="C18" s="49"/>
      <x:c r="D18" s="48"/>
      <x:c r="E18" s="48"/>
      <x:c r="F18" s="48"/>
      <x:c r="G18" s="48"/>
      <x:c r="H18" s="48"/>
      <x:c r="I18" s="48"/>
      <x:c r="J18" s="48"/>
      <x:c r="K18" s="50"/>
      <x:c r="L18" s="50"/>
      <x:c r="M18" s="48"/>
      <x:c r="N18" s="48"/>
      <x:c r="O18" s="48"/>
      <x:c r="P18" s="51" t="str">
        <x:f>IF(OR(K18="",L18="",M18=""),"",K18*L18*VLOOKUP(M18,'Parametros'!$A$4:$B$6,2,FALSE))</x:f>
      </x:c>
      <x:c r="Q18" s="48"/>
      <x:c r="R18" s="49"/>
    </x:row>
    <x:row r="19" ht="58" customHeight="1">
      <x:c r="A19" s="48"/>
      <x:c r="B19" s="49"/>
      <x:c r="C19" s="49"/>
      <x:c r="D19" s="48"/>
      <x:c r="E19" s="48"/>
      <x:c r="F19" s="48"/>
      <x:c r="G19" s="48"/>
      <x:c r="H19" s="48"/>
      <x:c r="I19" s="48"/>
      <x:c r="J19" s="48"/>
      <x:c r="K19" s="50"/>
      <x:c r="L19" s="50"/>
      <x:c r="M19" s="48"/>
      <x:c r="N19" s="48"/>
      <x:c r="O19" s="48"/>
      <x:c r="P19" s="51" t="str">
        <x:f>IF(OR(K19="",L19="",M19=""),"",K19*L19*VLOOKUP(M19,'Parametros'!$A$4:$B$6,2,FALSE))</x:f>
      </x:c>
      <x:c r="Q19" s="48"/>
      <x:c r="R19" s="49"/>
    </x:row>
    <x:row r="20" ht="58" customHeight="1">
      <x:c r="A20" s="48"/>
      <x:c r="B20" s="49"/>
      <x:c r="C20" s="49"/>
      <x:c r="D20" s="48"/>
      <x:c r="E20" s="48"/>
      <x:c r="F20" s="48"/>
      <x:c r="G20" s="48"/>
      <x:c r="H20" s="48"/>
      <x:c r="I20" s="48"/>
      <x:c r="J20" s="48"/>
      <x:c r="K20" s="50"/>
      <x:c r="L20" s="50"/>
      <x:c r="M20" s="48"/>
      <x:c r="N20" s="48"/>
      <x:c r="O20" s="48"/>
      <x:c r="P20" s="51" t="str">
        <x:f>IF(OR(K20="",L20="",M20=""),"",K20*L20*VLOOKUP(M20,'Parametros'!$A$4:$B$6,2,FALSE))</x:f>
      </x:c>
      <x:c r="Q20" s="48"/>
      <x:c r="R20" s="49"/>
    </x:row>
    <x:row r="21" ht="58" customHeight="1">
      <x:c r="A21" s="48"/>
      <x:c r="B21" s="49"/>
      <x:c r="C21" s="49"/>
      <x:c r="D21" s="48"/>
      <x:c r="E21" s="48"/>
      <x:c r="F21" s="48"/>
      <x:c r="G21" s="48"/>
      <x:c r="H21" s="48"/>
      <x:c r="I21" s="48"/>
      <x:c r="J21" s="48"/>
      <x:c r="K21" s="50"/>
      <x:c r="L21" s="50"/>
      <x:c r="M21" s="48"/>
      <x:c r="N21" s="48"/>
      <x:c r="O21" s="48"/>
      <x:c r="P21" s="51" t="str">
        <x:f>IF(OR(K21="",L21="",M21=""),"",K21*L21*VLOOKUP(M21,'Parametros'!$A$4:$B$6,2,FALSE))</x:f>
      </x:c>
      <x:c r="Q21" s="48"/>
      <x:c r="R21" s="49"/>
    </x:row>
    <x:row r="22" ht="58" customHeight="1">
      <x:c r="A22" s="48"/>
      <x:c r="B22" s="49"/>
      <x:c r="C22" s="49"/>
      <x:c r="D22" s="48"/>
      <x:c r="E22" s="48"/>
      <x:c r="F22" s="48"/>
      <x:c r="G22" s="48"/>
      <x:c r="H22" s="48"/>
      <x:c r="I22" s="48"/>
      <x:c r="J22" s="48"/>
      <x:c r="K22" s="50"/>
      <x:c r="L22" s="50"/>
      <x:c r="M22" s="48"/>
      <x:c r="N22" s="48"/>
      <x:c r="O22" s="48"/>
      <x:c r="P22" s="51" t="str">
        <x:f>IF(OR(K22="",L22="",M22=""),"",K22*L22*VLOOKUP(M22,'Parametros'!$A$4:$B$6,2,FALSE))</x:f>
      </x:c>
      <x:c r="Q22" s="48"/>
      <x:c r="R22" s="49"/>
    </x:row>
    <x:row r="23" ht="58" customHeight="1">
      <x:c r="A23" s="48"/>
      <x:c r="B23" s="49"/>
      <x:c r="C23" s="49"/>
      <x:c r="D23" s="48"/>
      <x:c r="E23" s="48"/>
      <x:c r="F23" s="48"/>
      <x:c r="G23" s="48"/>
      <x:c r="H23" s="48"/>
      <x:c r="I23" s="48"/>
      <x:c r="J23" s="48"/>
      <x:c r="K23" s="50"/>
      <x:c r="L23" s="50"/>
      <x:c r="M23" s="48"/>
      <x:c r="N23" s="48"/>
      <x:c r="O23" s="48"/>
      <x:c r="P23" s="51" t="str">
        <x:f>IF(OR(K23="",L23="",M23=""),"",K23*L23*VLOOKUP(M23,'Parametros'!$A$4:$B$6,2,FALSE))</x:f>
      </x:c>
      <x:c r="Q23" s="48"/>
      <x:c r="R23" s="49"/>
    </x:row>
    <x:row r="24" ht="58" customHeight="1">
      <x:c r="A24" s="48"/>
      <x:c r="B24" s="49"/>
      <x:c r="C24" s="49"/>
      <x:c r="D24" s="48"/>
      <x:c r="E24" s="48"/>
      <x:c r="F24" s="48"/>
      <x:c r="G24" s="48"/>
      <x:c r="H24" s="48"/>
      <x:c r="I24" s="48"/>
      <x:c r="J24" s="48"/>
      <x:c r="K24" s="50"/>
      <x:c r="L24" s="50"/>
      <x:c r="M24" s="48"/>
      <x:c r="N24" s="48"/>
      <x:c r="O24" s="48"/>
      <x:c r="P24" s="51" t="str">
        <x:f>IF(OR(K24="",L24="",M24=""),"",K24*L24*VLOOKUP(M24,'Parametros'!$A$4:$B$6,2,FALSE))</x:f>
      </x:c>
      <x:c r="Q24" s="48"/>
      <x:c r="R24" s="49"/>
    </x:row>
    <x:row r="25" ht="58" customHeight="1">
      <x:c r="A25" s="48"/>
      <x:c r="B25" s="49"/>
      <x:c r="C25" s="49"/>
      <x:c r="D25" s="48"/>
      <x:c r="E25" s="48"/>
      <x:c r="F25" s="48"/>
      <x:c r="G25" s="48"/>
      <x:c r="H25" s="48"/>
      <x:c r="I25" s="48"/>
      <x:c r="J25" s="48"/>
      <x:c r="K25" s="50"/>
      <x:c r="L25" s="50"/>
      <x:c r="M25" s="48"/>
      <x:c r="N25" s="48"/>
      <x:c r="O25" s="48"/>
      <x:c r="P25" s="51" t="str">
        <x:f>IF(OR(K25="",L25="",M25=""),"",K25*L25*VLOOKUP(M25,'Parametros'!$A$4:$B$6,2,FALSE))</x:f>
      </x:c>
      <x:c r="Q25" s="48"/>
      <x:c r="R25" s="49"/>
    </x:row>
    <x:row r="26" ht="58" customHeight="1">
      <x:c r="A26" s="48"/>
      <x:c r="B26" s="49"/>
      <x:c r="C26" s="49"/>
      <x:c r="D26" s="48"/>
      <x:c r="E26" s="48"/>
      <x:c r="F26" s="48"/>
      <x:c r="G26" s="48"/>
      <x:c r="H26" s="48"/>
      <x:c r="I26" s="48"/>
      <x:c r="J26" s="48"/>
      <x:c r="K26" s="50"/>
      <x:c r="L26" s="50"/>
      <x:c r="M26" s="48"/>
      <x:c r="N26" s="48"/>
      <x:c r="O26" s="48"/>
      <x:c r="P26" s="51" t="str">
        <x:f>IF(OR(K26="",L26="",M26=""),"",K26*L26*VLOOKUP(M26,'Parametros'!$A$4:$B$6,2,FALSE))</x:f>
      </x:c>
      <x:c r="Q26" s="48"/>
      <x:c r="R26" s="49"/>
    </x:row>
    <x:row r="27" ht="58" customHeight="1">
      <x:c r="A27" s="48"/>
      <x:c r="B27" s="49"/>
      <x:c r="C27" s="49"/>
      <x:c r="D27" s="48"/>
      <x:c r="E27" s="48"/>
      <x:c r="F27" s="48"/>
      <x:c r="G27" s="48"/>
      <x:c r="H27" s="48"/>
      <x:c r="I27" s="48"/>
      <x:c r="J27" s="48"/>
      <x:c r="K27" s="50"/>
      <x:c r="L27" s="50"/>
      <x:c r="M27" s="48"/>
      <x:c r="N27" s="48"/>
      <x:c r="O27" s="48"/>
      <x:c r="P27" s="51" t="str">
        <x:f>IF(OR(K27="",L27="",M27=""),"",K27*L27*VLOOKUP(M27,'Parametros'!$A$4:$B$6,2,FALSE))</x:f>
      </x:c>
      <x:c r="Q27" s="48"/>
      <x:c r="R27" s="49"/>
    </x:row>
    <x:row r="28" ht="58" customHeight="1">
      <x:c r="A28" s="48"/>
      <x:c r="B28" s="49"/>
      <x:c r="C28" s="49"/>
      <x:c r="D28" s="48"/>
      <x:c r="E28" s="48"/>
      <x:c r="F28" s="48"/>
      <x:c r="G28" s="48"/>
      <x:c r="H28" s="48"/>
      <x:c r="I28" s="48"/>
      <x:c r="J28" s="48"/>
      <x:c r="K28" s="50"/>
      <x:c r="L28" s="50"/>
      <x:c r="M28" s="48"/>
      <x:c r="N28" s="48"/>
      <x:c r="O28" s="48"/>
      <x:c r="P28" s="51" t="str">
        <x:f>IF(OR(K28="",L28="",M28=""),"",K28*L28*VLOOKUP(M28,'Parametros'!$A$4:$B$6,2,FALSE))</x:f>
      </x:c>
      <x:c r="Q28" s="48"/>
      <x:c r="R28" s="49"/>
    </x:row>
    <x:row r="29" ht="58" customHeight="1">
      <x:c r="A29" s="48"/>
      <x:c r="B29" s="49"/>
      <x:c r="C29" s="49"/>
      <x:c r="D29" s="48"/>
      <x:c r="E29" s="48"/>
      <x:c r="F29" s="48"/>
      <x:c r="G29" s="48"/>
      <x:c r="H29" s="48"/>
      <x:c r="I29" s="48"/>
      <x:c r="J29" s="48"/>
      <x:c r="K29" s="50"/>
      <x:c r="L29" s="50"/>
      <x:c r="M29" s="48"/>
      <x:c r="N29" s="48"/>
      <x:c r="O29" s="48"/>
      <x:c r="P29" s="51" t="str">
        <x:f>IF(OR(K29="",L29="",M29=""),"",K29*L29*VLOOKUP(M29,'Parametros'!$A$4:$B$6,2,FALSE))</x:f>
      </x:c>
      <x:c r="Q29" s="48"/>
      <x:c r="R29" s="49"/>
    </x:row>
    <x:row r="30" ht="58" customHeight="1">
      <x:c r="A30" s="48"/>
      <x:c r="B30" s="49"/>
      <x:c r="C30" s="49"/>
      <x:c r="D30" s="48"/>
      <x:c r="E30" s="48"/>
      <x:c r="F30" s="48"/>
      <x:c r="G30" s="48"/>
      <x:c r="H30" s="48"/>
      <x:c r="I30" s="48"/>
      <x:c r="J30" s="48"/>
      <x:c r="K30" s="50"/>
      <x:c r="L30" s="50"/>
      <x:c r="M30" s="48"/>
      <x:c r="N30" s="48"/>
      <x:c r="O30" s="48"/>
      <x:c r="P30" s="51" t="str">
        <x:f>IF(OR(K30="",L30="",M30=""),"",K30*L30*VLOOKUP(M30,'Parametros'!$A$4:$B$6,2,FALSE))</x:f>
      </x:c>
      <x:c r="Q30" s="48"/>
      <x:c r="R30" s="49"/>
    </x:row>
    <x:row r="31" ht="58" customHeight="1">
      <x:c r="A31" s="48"/>
      <x:c r="B31" s="49"/>
      <x:c r="C31" s="49"/>
      <x:c r="D31" s="48"/>
      <x:c r="E31" s="48"/>
      <x:c r="F31" s="48"/>
      <x:c r="G31" s="48"/>
      <x:c r="H31" s="48"/>
      <x:c r="I31" s="48"/>
      <x:c r="J31" s="48"/>
      <x:c r="K31" s="50"/>
      <x:c r="L31" s="50"/>
      <x:c r="M31" s="48"/>
      <x:c r="N31" s="48"/>
      <x:c r="O31" s="48"/>
      <x:c r="P31" s="51" t="str">
        <x:f>IF(OR(K31="",L31="",M31=""),"",K31*L31*VLOOKUP(M31,'Parametros'!$A$4:$B$6,2,FALSE))</x:f>
      </x:c>
      <x:c r="Q31" s="48"/>
      <x:c r="R31" s="49"/>
    </x:row>
    <x:row r="32" ht="58" customHeight="1">
      <x:c r="A32" s="48"/>
      <x:c r="B32" s="49"/>
      <x:c r="C32" s="49"/>
      <x:c r="D32" s="48"/>
      <x:c r="E32" s="48"/>
      <x:c r="F32" s="48"/>
      <x:c r="G32" s="48"/>
      <x:c r="H32" s="48"/>
      <x:c r="I32" s="48"/>
      <x:c r="J32" s="48"/>
      <x:c r="K32" s="50"/>
      <x:c r="L32" s="50"/>
      <x:c r="M32" s="48"/>
      <x:c r="N32" s="48"/>
      <x:c r="O32" s="48"/>
      <x:c r="P32" s="51" t="str">
        <x:f>IF(OR(K32="",L32="",M32=""),"",K32*L32*VLOOKUP(M32,'Parametros'!$A$4:$B$6,2,FALSE))</x:f>
      </x:c>
      <x:c r="Q32" s="48"/>
      <x:c r="R32" s="49"/>
    </x:row>
    <x:row r="33" ht="58" customHeight="1">
      <x:c r="A33" s="48"/>
      <x:c r="B33" s="49"/>
      <x:c r="C33" s="49"/>
      <x:c r="D33" s="48"/>
      <x:c r="E33" s="48"/>
      <x:c r="F33" s="48"/>
      <x:c r="G33" s="48"/>
      <x:c r="H33" s="48"/>
      <x:c r="I33" s="48"/>
      <x:c r="J33" s="48"/>
      <x:c r="K33" s="50"/>
      <x:c r="L33" s="50"/>
      <x:c r="M33" s="48"/>
      <x:c r="N33" s="48"/>
      <x:c r="O33" s="48"/>
      <x:c r="P33" s="51" t="str">
        <x:f>IF(OR(K33="",L33="",M33=""),"",K33*L33*VLOOKUP(M33,'Parametros'!$A$4:$B$6,2,FALSE))</x:f>
      </x:c>
      <x:c r="Q33" s="48"/>
      <x:c r="R33" s="49"/>
    </x:row>
    <x:row r="34" ht="58" customHeight="1">
      <x:c r="A34" s="48"/>
      <x:c r="B34" s="49"/>
      <x:c r="C34" s="49"/>
      <x:c r="D34" s="48"/>
      <x:c r="E34" s="48"/>
      <x:c r="F34" s="48"/>
      <x:c r="G34" s="48"/>
      <x:c r="H34" s="48"/>
      <x:c r="I34" s="48"/>
      <x:c r="J34" s="48"/>
      <x:c r="K34" s="50"/>
      <x:c r="L34" s="50"/>
      <x:c r="M34" s="48"/>
      <x:c r="N34" s="48"/>
      <x:c r="O34" s="48"/>
      <x:c r="P34" s="51" t="str">
        <x:f>IF(OR(K34="",L34="",M34=""),"",K34*L34*VLOOKUP(M34,'Parametros'!$A$4:$B$6,2,FALSE))</x:f>
      </x:c>
      <x:c r="Q34" s="48"/>
      <x:c r="R34" s="49"/>
    </x:row>
  </x:sheetData>
  <x:mergeCells>
    <x:mergeCell ref="A1:R1"/>
    <x:mergeCell ref="A2:R2"/>
  </x:mergeCells>
  <x:conditionalFormatting sqref="P5:P34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{DDF48DEE-9C4E-78B1-8BD8-E0BC48CF3B9F}</x14:id>
        </x:ext>
      </x:extLst>
    </x:cfRule>
  </x:conditionalFormatting>
  <x:conditionalFormatting sqref="Q5:Q34">
    <x:cfRule type="containsText" dxfId="0" priority="2" operator="containsText" text="Confirmado"/>
    <x:cfRule type="containsText" dxfId="1" priority="3" operator="containsText" text="Pendente"/>
    <x:cfRule type="containsText" dxfId="2" priority="4" operator="containsText" text="Descartado"/>
  </x:conditionalFormatting>
  <x:dataValidations count="6">
    <x:dataValidation type="list" sqref="E5:E34">
      <x:formula1>'Parametros'!$D$4:$D$13</x:formula1>
    </x:dataValidation>
    <x:dataValidation type="list" sqref="G5:G34">
      <x:formula1>'Parametros'!$F$4:$F$6</x:formula1>
    </x:dataValidation>
    <x:dataValidation type="whole" operator="between" sqref="K5:K34">
      <x:formula1>1</x:formula1>
      <x:formula2>5</x:formula2>
    </x:dataValidation>
    <x:dataValidation type="whole" operator="between" sqref="L5:L34">
      <x:formula1>1</x:formula1>
      <x:formula2>5</x:formula2>
    </x:dataValidation>
    <x:dataValidation type="list" sqref="M5:M34">
      <x:formula1>'Parametros'!$A$4:$A$6</x:formula1>
    </x:dataValidation>
    <x:dataValidation type="list" sqref="Q5:Q34">
      <x:formula1>'Parametros'!$H$4:$H$7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48ae74677a47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DF48DEE-9C4E-78B1-8BD8-E0BC48CF3B9F}">
            <x14:dataBar gradient="1">
              <x14:cfvo type="min"/>
              <x14:cfvo type="max"/>
              <x14:fillColor rgb="FF2F75B5"/>
            </x14:dataBar>
          </x14:cfRule>
          <xm:sqref>P5:P34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27" t="str">
        <x:v>RESUMO DO RADAR COMPETITIVO</x:v>
      </x:c>
      <x:c r="B1" s="27" t="str">
        <x:v>RESUMO DO RADAR COMPETITIVO</x:v>
      </x:c>
      <x:c r="C1" s="27" t="str">
        <x:v>RESUMO DO RADAR COMPETITIVO</x:v>
      </x:c>
      <x:c r="D1" s="27" t="str">
        <x:v>RESUMO DO RADAR COMPETITIVO</x:v>
      </x:c>
      <x:c r="E1" s="27" t="str">
        <x:v>RESUMO DO RADAR COMPETITIVO</x:v>
      </x:c>
      <x:c r="F1" s="27" t="str">
        <x:v>RESUMO DO RADAR COMPETITIVO</x:v>
      </x:c>
      <x:c r="G1" s="27" t="str">
        <x:v>RESUMO DO RADAR COMPETITIVO</x:v>
      </x:c>
      <x:c r="H1" s="27" t="str">
        <x:v>RESUMO DO RADAR COMPETITIVO</x:v>
      </x:c>
      <x:c r="I1" s="27" t="str">
        <x:v>RESUMO DO RADAR COMPETITIVO</x:v>
      </x:c>
      <x:c r="J1" s="27" t="str">
        <x:v>RESUMO DO RADAR COMPETITIVO</x:v>
      </x:c>
    </x:row>
    <x:row r="2">
      <x:c r="A2" s="119" t="str">
        <x:v>Os indicadores abaixo usam a aba Radar. As cinco linhas iniciais sao exemplos sinteticos.</x:v>
      </x:c>
      <x:c r="B2" s="119"/>
      <x:c r="C2" s="119"/>
      <x:c r="D2" s="119"/>
      <x:c r="E2" s="119"/>
      <x:c r="F2" s="119"/>
      <x:c r="G2" s="119"/>
      <x:c r="H2" s="119"/>
      <x:c r="I2" s="119"/>
      <x:c r="J2" s="119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</x:row>
    <x:row r="4">
      <x:c r="A4" s="120" t="str">
        <x:v>Sinais registrados</x:v>
      </x:c>
      <x:c r="B4" s="120"/>
      <x:c r="C4" s="28"/>
      <x:c r="D4" s="121" t="str">
        <x:v>Fontes primarias</x:v>
      </x:c>
      <x:c r="E4" s="121"/>
      <x:c r="F4" s="28"/>
      <x:c r="G4" s="122" t="str">
        <x:v>Alta confianca</x:v>
      </x:c>
      <x:c r="H4" s="122"/>
      <x:c r="I4" s="123" t="str">
        <x:v>Pendentes</x:v>
      </x:c>
      <x:c r="J4" s="123"/>
    </x:row>
    <x:row r="5">
      <x:c r="A5" s="124" t="n">
        <x:f>COUNTIF('Radar'!$D$5:$D$34,"&lt;&gt;")</x:f>
        <x:v>5</x:v>
      </x:c>
      <x:c r="B5" s="125"/>
      <x:c r="C5" s="28"/>
      <x:c r="D5" s="126" t="n">
        <x:f>COUNTIF('Radar'!$G$5:$G$34,"Primaria")</x:f>
        <x:v>3</x:v>
      </x:c>
      <x:c r="E5" s="127"/>
      <x:c r="F5" s="28"/>
      <x:c r="G5" s="128" t="n">
        <x:f>COUNTIF('Radar'!$M$5:$M$34,"Alta")</x:f>
        <x:v>2</x:v>
      </x:c>
      <x:c r="H5" s="129"/>
      <x:c r="I5" s="130" t="n">
        <x:f>COUNTIF('Radar'!$Q$5:$Q$34,"Pendente")</x:f>
        <x:v>1</x:v>
      </x:c>
      <x:c r="J5" s="131"/>
    </x:row>
    <x:row r="6">
      <x:c r="A6" s="132"/>
      <x:c r="B6" s="133"/>
      <x:c r="C6" s="28"/>
      <x:c r="D6" s="134"/>
      <x:c r="E6" s="135"/>
      <x:c r="F6" s="28"/>
      <x:c r="G6" s="136"/>
      <x:c r="H6" s="137"/>
      <x:c r="I6" s="138"/>
      <x:c r="J6" s="139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</x:row>
    <x:row r="9" ht="24" customHeight="1">
      <x:c r="A9" s="30" t="str">
        <x:v>Sinais por categoria</x:v>
      </x:c>
      <x:c r="B9" s="30" t="str">
        <x:v>Sinais por categoria</x:v>
      </x:c>
      <x:c r="C9" s="30" t="str">
        <x:v>Sinais por categoria</x:v>
      </x:c>
      <x:c r="D9" s="30" t="str">
        <x:v>Sinais por categoria</x:v>
      </x:c>
      <x:c r="E9" s="28"/>
      <x:c r="F9" s="28"/>
      <x:c r="G9" s="28"/>
      <x:c r="H9" s="28"/>
      <x:c r="I9" s="28"/>
      <x:c r="J9" s="28"/>
    </x:row>
    <x:row r="10">
      <x:c r="A10" s="140" t="str">
        <x:v>Categoria</x:v>
      </x:c>
      <x:c r="B10" s="140" t="str">
        <x:v>Quantidade</x:v>
      </x:c>
      <x:c r="C10" s="28"/>
      <x:c r="D10" s="28"/>
      <x:c r="E10" s="28"/>
      <x:c r="F10" s="28"/>
      <x:c r="G10" s="28"/>
      <x:c r="H10" s="28"/>
      <x:c r="I10" s="28"/>
      <x:c r="J10" s="28"/>
    </x:row>
    <x:row r="11">
      <x:c r="A11" s="141" t="str">
        <x:v>Produto</x:v>
      </x:c>
      <x:c r="B11" s="142" t="n">
        <x:f>COUNTIF('Radar'!$E$5:$E$34,A11)</x:f>
        <x:v>1</x:v>
      </x:c>
      <x:c r="C11" s="28"/>
      <x:c r="D11" s="28"/>
      <x:c r="E11" s="28"/>
      <x:c r="F11" s="28"/>
      <x:c r="G11" s="28"/>
      <x:c r="H11" s="28"/>
      <x:c r="I11" s="28"/>
      <x:c r="J11" s="28"/>
    </x:row>
    <x:row r="12">
      <x:c r="A12" s="141" t="str">
        <x:v>Preco</x:v>
      </x:c>
      <x:c r="B12" s="142" t="n">
        <x:f>COUNTIF('Radar'!$E$5:$E$34,A12)</x:f>
        <x:v>1</x:v>
      </x:c>
      <x:c r="C12" s="28"/>
      <x:c r="D12" s="28"/>
      <x:c r="E12" s="28"/>
      <x:c r="F12" s="28"/>
      <x:c r="G12" s="28"/>
      <x:c r="H12" s="28"/>
      <x:c r="I12" s="28"/>
      <x:c r="J12" s="28"/>
    </x:row>
    <x:row r="13">
      <x:c r="A13" s="141" t="str">
        <x:v>Parceria</x:v>
      </x:c>
      <x:c r="B13" s="142" t="n">
        <x:f>COUNTIF('Radar'!$E$5:$E$34,A13)</x:f>
        <x:v>1</x:v>
      </x:c>
      <x:c r="C13" s="28"/>
      <x:c r="D13" s="28"/>
      <x:c r="E13" s="28"/>
      <x:c r="F13" s="28"/>
      <x:c r="G13" s="28"/>
      <x:c r="H13" s="28"/>
      <x:c r="I13" s="28"/>
      <x:c r="J13" s="28"/>
    </x:row>
    <x:row r="14">
      <x:c r="A14" s="141" t="str">
        <x:v>Aquisicao</x:v>
      </x:c>
      <x:c r="B14" s="142" t="n">
        <x:f>COUNTIF('Radar'!$E$5:$E$34,A14)</x:f>
        <x:v>0</x:v>
      </x:c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141" t="str">
        <x:v>Expansao</x:v>
      </x:c>
      <x:c r="B15" s="142" t="n">
        <x:f>COUNTIF('Radar'!$E$5:$E$34,A15)</x:f>
        <x:v>0</x:v>
      </x:c>
      <x:c r="C15" s="28"/>
      <x:c r="D15" s="28"/>
      <x:c r="E15" s="28"/>
      <x:c r="F15" s="28"/>
      <x:c r="G15" s="28"/>
      <x:c r="H15" s="28"/>
      <x:c r="I15" s="28"/>
      <x:c r="J15" s="28"/>
    </x:row>
    <x:row r="16">
      <x:c r="A16" s="141" t="str">
        <x:v>Campanha</x:v>
      </x:c>
      <x:c r="B16" s="142" t="n">
        <x:f>COUNTIF('Radar'!$E$5:$E$34,A16)</x:f>
        <x:v>1</x:v>
      </x:c>
      <x:c r="C16" s="28"/>
      <x:c r="D16" s="28"/>
      <x:c r="E16" s="28"/>
      <x:c r="F16" s="28"/>
      <x:c r="G16" s="28"/>
      <x:c r="H16" s="28"/>
      <x:c r="I16" s="28"/>
      <x:c r="J16" s="28"/>
    </x:row>
    <x:row r="17">
      <x:c r="A17" s="141" t="str">
        <x:v>Contratacao</x:v>
      </x:c>
      <x:c r="B17" s="142" t="n">
        <x:f>COUNTIF('Radar'!$E$5:$E$34,A17)</x:f>
        <x:v>1</x:v>
      </x:c>
      <x:c r="C17" s="28"/>
      <x:c r="D17" s="28"/>
      <x:c r="E17" s="28"/>
      <x:c r="F17" s="28"/>
      <x:c r="G17" s="28"/>
      <x:c r="H17" s="28"/>
      <x:c r="I17" s="28"/>
      <x:c r="J17" s="28"/>
    </x:row>
    <x:row r="18">
      <x:c r="A18" s="141" t="str">
        <x:v>Lideranca</x:v>
      </x:c>
      <x:c r="B18" s="142" t="n">
        <x:f>COUNTIF('Radar'!$E$5:$E$34,A18)</x:f>
        <x:v>0</x:v>
      </x:c>
      <x:c r="C18" s="28"/>
      <x:c r="D18" s="28"/>
      <x:c r="E18" s="28"/>
      <x:c r="F18" s="28"/>
      <x:c r="G18" s="28"/>
      <x:c r="H18" s="28"/>
      <x:c r="I18" s="28"/>
      <x:c r="J18" s="28"/>
    </x:row>
    <x:row r="19">
      <x:c r="A19" s="141" t="str">
        <x:v>Resultado</x:v>
      </x:c>
      <x:c r="B19" s="142" t="n">
        <x:f>COUNTIF('Radar'!$E$5:$E$34,A19)</x:f>
        <x:v>0</x:v>
      </x:c>
      <x:c r="C19" s="28"/>
      <x:c r="D19" s="28"/>
      <x:c r="E19" s="28"/>
      <x:c r="F19" s="28"/>
      <x:c r="G19" s="28"/>
      <x:c r="H19" s="28"/>
      <x:c r="I19" s="28"/>
      <x:c r="J19" s="28"/>
    </x:row>
    <x:row r="20">
      <x:c r="A20" s="141" t="str">
        <x:v>Regulacao</x:v>
      </x:c>
      <x:c r="B20" s="142" t="n">
        <x:f>COUNTIF('Radar'!$E$5:$E$34,A20)</x:f>
        <x:v>0</x:v>
      </x:c>
      <x:c r="C20" s="28"/>
      <x:c r="D20" s="28"/>
      <x:c r="E20" s="28"/>
      <x:c r="F20" s="28"/>
      <x:c r="G20" s="28"/>
      <x:c r="H20" s="28"/>
      <x:c r="I20" s="28"/>
      <x:c r="J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</x:row>
    <x:row r="23" ht="24" customHeight="1">
      <x:c r="A23" s="30" t="str">
        <x:v>Como interpretar</x:v>
      </x:c>
      <x:c r="B23" s="30" t="str">
        <x:v>Como interpretar</x:v>
      </x:c>
      <x:c r="C23" s="30" t="str">
        <x:v>Como interpretar</x:v>
      </x:c>
      <x:c r="D23" s="30" t="str">
        <x:v>Como interpretar</x:v>
      </x:c>
      <x:c r="E23" s="30" t="str">
        <x:v>Como interpretar</x:v>
      </x:c>
      <x:c r="F23" s="30" t="str">
        <x:v>Como interpretar</x:v>
      </x:c>
      <x:c r="G23" s="30" t="str">
        <x:v>Como interpretar</x:v>
      </x:c>
      <x:c r="H23" s="30" t="str">
        <x:v>Como interpretar</x:v>
      </x:c>
      <x:c r="I23" s="30" t="str">
        <x:v>Como interpretar</x:v>
      </x:c>
      <x:c r="J23" s="30" t="str">
        <x:v>Como interpretar</x:v>
      </x:c>
    </x:row>
    <x:row r="24">
      <x:c r="A24" s="143" t="str">
        <x:v>Priorize os sinais com maior score para conferencia, mas leia a evidencia antes de agir. Um score alto com fonte fraca continua sendo um alerta de verificacao. O painel organiza o trabalho; a conclusao depende de contexto e julgamento humano.</x:v>
      </x:c>
      <x:c r="B24" s="143"/>
      <x:c r="C24" s="143"/>
      <x:c r="D24" s="143"/>
      <x:c r="E24" s="143"/>
      <x:c r="F24" s="143"/>
      <x:c r="G24" s="143"/>
      <x:c r="H24" s="143"/>
      <x:c r="I24" s="143"/>
      <x:c r="J24" s="143"/>
    </x:row>
    <x:row r="25">
      <x:c r="A25" s="143"/>
      <x:c r="B25" s="143"/>
      <x:c r="C25" s="143"/>
      <x:c r="D25" s="143"/>
      <x:c r="E25" s="143"/>
      <x:c r="F25" s="143"/>
      <x:c r="G25" s="143"/>
      <x:c r="H25" s="143"/>
      <x:c r="I25" s="143"/>
      <x:c r="J25" s="143"/>
    </x:row>
    <x:row r="26">
      <x:c r="A26" s="143"/>
      <x:c r="B26" s="143"/>
      <x:c r="C26" s="143"/>
      <x:c r="D26" s="143"/>
      <x:c r="E26" s="143"/>
      <x:c r="F26" s="143"/>
      <x:c r="G26" s="143"/>
      <x:c r="H26" s="143"/>
      <x:c r="I26" s="143"/>
      <x:c r="J26" s="143"/>
    </x:row>
    <x:row r="27">
      <x:c r="A27" s="143"/>
      <x:c r="B27" s="143"/>
      <x:c r="C27" s="143"/>
      <x:c r="D27" s="143"/>
      <x:c r="E27" s="143"/>
      <x:c r="F27" s="143"/>
      <x:c r="G27" s="143"/>
      <x:c r="H27" s="143"/>
      <x:c r="I27" s="143"/>
      <x:c r="J27" s="143"/>
    </x:row>
  </x:sheetData>
  <x:mergeCells>
    <x:mergeCell ref="A1:J1"/>
    <x:mergeCell ref="A2:J2"/>
    <x:mergeCell ref="A4:B4"/>
    <x:mergeCell ref="A5:B6"/>
    <x:mergeCell ref="D4:E4"/>
    <x:mergeCell ref="D5:E6"/>
    <x:mergeCell ref="G4:H4"/>
    <x:mergeCell ref="G5:H6"/>
    <x:mergeCell ref="I4:J4"/>
    <x:mergeCell ref="I5:J6"/>
    <x:mergeCell ref="A9:D9"/>
    <x:mergeCell ref="A23:J23"/>
    <x:mergeCell ref="A24:J27"/>
  </x:mergeCells>
  <x:pageMargins left="0.7" right="0.7" top="0.75" bottom="0.75" header="0.3" footer="0.3"/>
  <x:drawing xmlns:r="http://schemas.openxmlformats.org/officeDocument/2006/relationships" r:id="Rba8c0e26ae9c441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7" t="str">
        <x:v>PARAMETROS E LISTAS DE CONTROLE</x:v>
      </x:c>
      <x:c r="B1" s="27" t="str">
        <x:v>PARAMETROS E LISTAS DE CONTROLE</x:v>
      </x:c>
      <x:c r="C1" s="27" t="str">
        <x:v>PARAMETROS E LISTAS DE CONTROLE</x:v>
      </x:c>
      <x:c r="D1" s="27" t="str">
        <x:v>PARAMETROS E LISTAS DE CONTROLE</x:v>
      </x:c>
      <x:c r="E1" s="27" t="str">
        <x:v>PARAMETROS E LISTAS DE CONTROLE</x:v>
      </x:c>
      <x:c r="F1" s="27" t="str">
        <x:v>PARAMETROS E LISTAS DE CONTROLE</x:v>
      </x:c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3">
      <x:c r="A3" s="39" t="str">
        <x:v>Confianca</x:v>
      </x:c>
      <x:c r="B3" s="39" t="str">
        <x:v>Peso</x:v>
      </x:c>
      <x:c r="C3" s="28"/>
      <x:c r="D3" s="39" t="str">
        <x:v>Categorias</x:v>
      </x:c>
      <x:c r="E3" s="28"/>
      <x:c r="F3" s="39" t="str">
        <x:v>Tipo de fonte</x:v>
      </x:c>
      <x:c r="G3" s="28"/>
      <x:c r="H3" s="39" t="str">
        <x:v>Status</x:v>
      </x:c>
    </x:row>
    <x:row r="4">
      <x:c r="A4" s="28" t="str">
        <x:v>Alta</x:v>
      </x:c>
      <x:c r="B4" s="40" t="n">
        <x:v>1</x:v>
      </x:c>
      <x:c r="C4" s="28"/>
      <x:c r="D4" s="28" t="str">
        <x:v>Produto</x:v>
      </x:c>
      <x:c r="E4" s="28"/>
      <x:c r="F4" s="28" t="str">
        <x:v>Primaria</x:v>
      </x:c>
      <x:c r="G4" s="28"/>
      <x:c r="H4" s="28" t="str">
        <x:v>Pendente</x:v>
      </x:c>
    </x:row>
    <x:row r="5">
      <x:c r="A5" s="28" t="str">
        <x:v>Media</x:v>
      </x:c>
      <x:c r="B5" s="40" t="n">
        <x:v>0.7</x:v>
      </x:c>
      <x:c r="C5" s="28"/>
      <x:c r="D5" s="28" t="str">
        <x:v>Preco</x:v>
      </x:c>
      <x:c r="E5" s="28"/>
      <x:c r="F5" s="28" t="str">
        <x:v>Secundaria</x:v>
      </x:c>
      <x:c r="G5" s="28"/>
      <x:c r="H5" s="28" t="str">
        <x:v>Confirmado</x:v>
      </x:c>
    </x:row>
    <x:row r="6">
      <x:c r="A6" s="28" t="str">
        <x:v>Baixa</x:v>
      </x:c>
      <x:c r="B6" s="40" t="n">
        <x:v>0.4</x:v>
      </x:c>
      <x:c r="C6" s="28"/>
      <x:c r="D6" s="28" t="str">
        <x:v>Parceria</x:v>
      </x:c>
      <x:c r="E6" s="28"/>
      <x:c r="F6" s="28" t="str">
        <x:v>Comercial</x:v>
      </x:c>
      <x:c r="G6" s="28"/>
      <x:c r="H6" s="28" t="str">
        <x:v>Parcial</x:v>
      </x:c>
    </x:row>
    <x:row r="7">
      <x:c r="A7" s="28"/>
      <x:c r="B7" s="28"/>
      <x:c r="C7" s="28"/>
      <x:c r="D7" s="28" t="str">
        <x:v>Aquisicao</x:v>
      </x:c>
      <x:c r="E7" s="28"/>
      <x:c r="F7" s="28"/>
      <x:c r="G7" s="28"/>
      <x:c r="H7" s="28" t="str">
        <x:v>Descartado</x:v>
      </x:c>
    </x:row>
    <x:row r="8">
      <x:c r="A8" s="28"/>
      <x:c r="B8" s="28"/>
      <x:c r="C8" s="28"/>
      <x:c r="D8" s="28" t="str">
        <x:v>Expansao</x:v>
      </x:c>
      <x:c r="E8" s="28"/>
      <x:c r="F8" s="28"/>
      <x:c r="G8" s="28"/>
      <x:c r="H8" s="28"/>
    </x:row>
    <x:row r="9">
      <x:c r="A9" s="28"/>
      <x:c r="B9" s="28"/>
      <x:c r="C9" s="28"/>
      <x:c r="D9" s="28" t="str">
        <x:v>Campanha</x:v>
      </x:c>
      <x:c r="E9" s="28"/>
      <x:c r="F9" s="28"/>
      <x:c r="G9" s="28"/>
      <x:c r="H9" s="28"/>
    </x:row>
    <x:row r="10">
      <x:c r="A10" s="28"/>
      <x:c r="B10" s="28"/>
      <x:c r="C10" s="28"/>
      <x:c r="D10" s="28" t="str">
        <x:v>Contratacao</x:v>
      </x:c>
      <x:c r="E10" s="28"/>
      <x:c r="F10" s="28"/>
      <x:c r="G10" s="28"/>
      <x:c r="H10" s="28"/>
    </x:row>
    <x:row r="11">
      <x:c r="A11" s="28"/>
      <x:c r="B11" s="28"/>
      <x:c r="C11" s="28"/>
      <x:c r="D11" s="28" t="str">
        <x:v>Lideranca</x:v>
      </x:c>
      <x:c r="E11" s="28"/>
      <x:c r="F11" s="28"/>
      <x:c r="G11" s="28"/>
      <x:c r="H11" s="28"/>
    </x:row>
    <x:row r="12">
      <x:c r="A12" s="28"/>
      <x:c r="B12" s="28"/>
      <x:c r="C12" s="28"/>
      <x:c r="D12" s="28" t="str">
        <x:v>Resultado</x:v>
      </x:c>
      <x:c r="E12" s="28"/>
      <x:c r="F12" s="28"/>
      <x:c r="G12" s="28"/>
      <x:c r="H12" s="28"/>
    </x:row>
    <x:row r="13">
      <x:c r="A13" s="28"/>
      <x:c r="B13" s="28"/>
      <x:c r="C13" s="28"/>
      <x:c r="D13" s="28" t="str">
        <x:v>Regulacao</x:v>
      </x:c>
      <x:c r="E13" s="28"/>
      <x:c r="F13" s="28"/>
      <x:c r="G13" s="28"/>
      <x:c r="H13" s="28"/>
    </x:row>
  </x:sheetData>
  <x:mergeCells>
    <x:mergeCell ref="A1:F1"/>
  </x:mergeCells>
  <x:pageMargins left="0.7" right="0.7" top="0.75" bottom="0.75" header="0.3" footer="0.3"/>
</x:worksheet>
</file>